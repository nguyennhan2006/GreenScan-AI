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19"/>
  <workbookPr autoCompressPictures="0" defaultThemeVersion="166925"/>
  <mc:AlternateContent xmlns:mc="http://schemas.openxmlformats.org/markup-compatibility/2006">
    <mc:Choice Requires="x15">
      <x15ac:absPath xmlns:x15ac="http://schemas.microsoft.com/office/spreadsheetml/2010/11/ac" url="https://nike-my.sharepoint.com/personal/rachael_graff_nike_com/Documents/"/>
    </mc:Choice>
  </mc:AlternateContent>
  <xr:revisionPtr revIDLastSave="1988" documentId="8_{A4EA5915-5B51-4841-8569-35AD6B24D777}" xr6:coauthVersionLast="47" xr6:coauthVersionMax="47" xr10:uidLastSave="{D8DD82B7-72FC-44E2-830B-166DF677424B}"/>
  <bookViews>
    <workbookView xWindow="32360" yWindow="4320" windowWidth="37420" windowHeight="21200" tabRatio="916" firstSheet="1" activeTab="1" xr2:uid="{00000000-000D-0000-FFFF-FFFF00000000}"/>
  </bookViews>
  <sheets>
    <sheet name="2025 Targets" sheetId="28" r:id="rId1"/>
    <sheet name="Representation &amp; Hiring" sheetId="2" r:id="rId2"/>
    <sheet name="Health &amp; Safety" sheetId="3" r:id="rId3"/>
    <sheet name="Code of Conduct" sheetId="5" r:id="rId4"/>
    <sheet name="Carbon" sheetId="9" r:id="rId5"/>
    <sheet name="Waste" sheetId="12" r:id="rId6"/>
    <sheet name="Water" sheetId="13" r:id="rId7"/>
  </sheets>
  <definedNames>
    <definedName name="_ftn1" localSheetId="0">'2025 Targets'!$A$55</definedName>
    <definedName name="_ftn2" localSheetId="1">'Representation &amp; Hiring'!#REF!</definedName>
    <definedName name="_ftn3" localSheetId="1">'Representation &amp; Hiring'!#REF!</definedName>
    <definedName name="_ftn4" localSheetId="1">'Representation &amp; Hiring'!#REF!</definedName>
    <definedName name="_ftn5" localSheetId="2">'Health &amp; Safety'!$A$6</definedName>
    <definedName name="_ftn6" localSheetId="2">'Health &amp; Safety'!$A$7</definedName>
    <definedName name="_ftn7" localSheetId="2">'Health &amp; Safety'!$A$8</definedName>
    <definedName name="_ftn8" localSheetId="2">'Health &amp; Safety'!$A$30</definedName>
    <definedName name="_ftnref1" localSheetId="0">'2025 Targets'!#REF!</definedName>
    <definedName name="_ftnref2" localSheetId="0">'2025 Targets'!#REF!</definedName>
    <definedName name="_ftnref2" localSheetId="1">'Representation &amp; Hiring'!#REF!</definedName>
    <definedName name="_ftnref2">#REF!</definedName>
    <definedName name="_ftnref3" localSheetId="1">'Representation &amp; Hiring'!#REF!</definedName>
    <definedName name="_ftnref4" localSheetId="1">'Representation &amp; Hiring'!#REF!</definedName>
    <definedName name="_ftnref6" localSheetId="2">'Health &amp; Safety'!#REF!</definedName>
    <definedName name="_ftnref7" localSheetId="2">'Health &amp; Safety'!#REF!</definedName>
    <definedName name="_ftnref8" localSheetId="2">'Health &amp; Safety'!$A$4</definedName>
    <definedName name="_Hlk7015466" localSheetId="2">'Health &amp; Safety'!#REF!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12" i="9" l="1"/>
  <c r="X312" i="9"/>
  <c r="W313" i="9"/>
  <c r="X313" i="9"/>
  <c r="W314" i="9"/>
  <c r="X314" i="9"/>
  <c r="W315" i="9"/>
  <c r="X315" i="9"/>
  <c r="W316" i="9"/>
  <c r="X316" i="9"/>
  <c r="W317" i="9"/>
  <c r="X317" i="9"/>
  <c r="W318" i="9"/>
  <c r="X318" i="9"/>
  <c r="W319" i="9"/>
  <c r="X319" i="9"/>
  <c r="W320" i="9"/>
  <c r="X320" i="9"/>
  <c r="W321" i="9"/>
  <c r="X321" i="9"/>
  <c r="W322" i="9"/>
  <c r="X322" i="9"/>
  <c r="W323" i="9"/>
  <c r="X323" i="9"/>
  <c r="W324" i="9"/>
  <c r="X324" i="9"/>
  <c r="W325" i="9"/>
  <c r="X325" i="9"/>
  <c r="W326" i="9"/>
  <c r="X326" i="9"/>
  <c r="W327" i="9"/>
  <c r="X327" i="9"/>
  <c r="W328" i="9"/>
  <c r="X328" i="9"/>
  <c r="W329" i="9"/>
  <c r="X329" i="9"/>
  <c r="W330" i="9"/>
  <c r="X330" i="9"/>
  <c r="W331" i="9"/>
  <c r="X331" i="9"/>
  <c r="W332" i="9"/>
  <c r="X332" i="9"/>
  <c r="W333" i="9"/>
  <c r="X333" i="9"/>
  <c r="W334" i="9"/>
  <c r="X334" i="9"/>
  <c r="W335" i="9"/>
  <c r="X335" i="9"/>
  <c r="W336" i="9"/>
  <c r="X336" i="9"/>
  <c r="W337" i="9"/>
  <c r="X337" i="9"/>
  <c r="W338" i="9"/>
  <c r="X338" i="9"/>
  <c r="W339" i="9"/>
  <c r="X339" i="9"/>
  <c r="W340" i="9"/>
  <c r="X340" i="9"/>
  <c r="W341" i="9"/>
  <c r="X341" i="9"/>
  <c r="W342" i="9"/>
  <c r="X342" i="9"/>
  <c r="W343" i="9"/>
  <c r="X343" i="9"/>
  <c r="W344" i="9"/>
  <c r="X344" i="9"/>
  <c r="W345" i="9"/>
  <c r="X345" i="9"/>
  <c r="W346" i="9"/>
  <c r="X346" i="9"/>
  <c r="W347" i="9"/>
  <c r="X347" i="9"/>
  <c r="W348" i="9"/>
  <c r="X348" i="9"/>
  <c r="W349" i="9"/>
  <c r="X349" i="9"/>
  <c r="W350" i="9"/>
  <c r="X350" i="9"/>
  <c r="W351" i="9"/>
  <c r="X351" i="9"/>
  <c r="W352" i="9"/>
  <c r="X352" i="9"/>
  <c r="W353" i="9"/>
  <c r="X353" i="9"/>
  <c r="W354" i="9"/>
  <c r="X354" i="9"/>
  <c r="W355" i="9"/>
  <c r="X355" i="9"/>
  <c r="B356" i="9"/>
  <c r="C356" i="9"/>
  <c r="D356" i="9"/>
  <c r="E356" i="9"/>
  <c r="F356" i="9"/>
  <c r="G356" i="9"/>
  <c r="I356" i="9"/>
  <c r="J356" i="9"/>
  <c r="K356" i="9"/>
  <c r="L356" i="9"/>
  <c r="M356" i="9"/>
  <c r="N356" i="9"/>
  <c r="X356" i="9"/>
  <c r="C155" i="9"/>
  <c r="B155" i="9"/>
  <c r="B113" i="9"/>
  <c r="B44" i="9"/>
  <c r="E113" i="9"/>
  <c r="C113" i="9"/>
  <c r="E112" i="9"/>
  <c r="B112" i="9"/>
  <c r="B64" i="9"/>
  <c r="B65" i="9"/>
  <c r="B63" i="9"/>
  <c r="B49" i="9"/>
  <c r="F30" i="9"/>
  <c r="C30" i="9"/>
  <c r="D30" i="9"/>
  <c r="E30" i="9"/>
  <c r="A49" i="9"/>
  <c r="C10" i="13"/>
  <c r="D10" i="13"/>
  <c r="E10" i="13"/>
  <c r="B10" i="13"/>
  <c r="W356" i="9" l="1"/>
  <c r="B66" i="9"/>
  <c r="C64" i="9" s="1"/>
  <c r="C63" i="9" l="1"/>
  <c r="C65" i="9"/>
  <c r="A44" i="9" l="1"/>
  <c r="C66" i="9" l="1"/>
</calcChain>
</file>

<file path=xl/sharedStrings.xml><?xml version="1.0" encoding="utf-8"?>
<sst xmlns="http://schemas.openxmlformats.org/spreadsheetml/2006/main" count="2066" uniqueCount="872">
  <si>
    <t>FY23 Performance Summary</t>
  </si>
  <si>
    <t>PEOPLE</t>
  </si>
  <si>
    <t>Metric</t>
  </si>
  <si>
    <t>FY20 Progress</t>
  </si>
  <si>
    <t>FY22 Progress</t>
  </si>
  <si>
    <t>FY23 Progress</t>
  </si>
  <si>
    <t>FY23 vs FY22</t>
  </si>
  <si>
    <t>FY23 vs Baseline</t>
  </si>
  <si>
    <t>2025 Target</t>
  </si>
  <si>
    <t>Corporate</t>
  </si>
  <si>
    <t>Representation of Women</t>
  </si>
  <si>
    <t>50% representation of women in global corporate workforce and 45% in leadership positions</t>
  </si>
  <si>
    <t>% women in global workforce</t>
  </si>
  <si>
    <t>-0.3 p.p</t>
  </si>
  <si>
    <t xml:space="preserve">0.5 p.p. </t>
  </si>
  <si>
    <t>% women in leadership positions</t>
  </si>
  <si>
    <t xml:space="preserve">0.2 p.p. </t>
  </si>
  <si>
    <t>4.9 p.p.</t>
  </si>
  <si>
    <t>U.S. Racial and Ethnic Minorities</t>
  </si>
  <si>
    <r>
      <t>35% representation of U.S. racial and ethnic minorities</t>
    </r>
    <r>
      <rPr>
        <vertAlign val="superscript"/>
        <sz val="11"/>
        <color rgb="FF000000"/>
        <rFont val="Arial"/>
        <family val="2"/>
      </rPr>
      <t>3</t>
    </r>
    <r>
      <rPr>
        <sz val="11"/>
        <color rgb="FF000000"/>
        <rFont val="Arial"/>
        <family val="2"/>
      </rPr>
      <t xml:space="preserve"> in our U.S. corporate workforce</t>
    </r>
    <r>
      <rPr>
        <vertAlign val="superscript"/>
        <sz val="11"/>
        <color rgb="FF000000"/>
        <rFont val="Arial"/>
        <family val="2"/>
      </rPr>
      <t>5</t>
    </r>
  </si>
  <si>
    <t>% U.S. racial and ethnic minorities in U.S. corporate workforce</t>
  </si>
  <si>
    <t>1.7 p.p.</t>
  </si>
  <si>
    <t>9.0 p.p.</t>
  </si>
  <si>
    <r>
      <t>30% representation of U.S. racial and ethnic minorities</t>
    </r>
    <r>
      <rPr>
        <vertAlign val="superscript"/>
        <sz val="11"/>
        <color rgb="FF000000"/>
        <rFont val="Arial"/>
        <family val="2"/>
      </rPr>
      <t>3</t>
    </r>
    <r>
      <rPr>
        <sz val="11"/>
        <color rgb="FF000000"/>
        <rFont val="Arial"/>
        <family val="2"/>
      </rPr>
      <t xml:space="preserve"> at Director level and above</t>
    </r>
  </si>
  <si>
    <t>% U.S. racial and ethnic minorities at Director level and above</t>
  </si>
  <si>
    <t>0.5 p.p.</t>
  </si>
  <si>
    <t>7.6 p.p.</t>
  </si>
  <si>
    <t xml:space="preserve">Engagement &amp; Inclusion </t>
  </si>
  <si>
    <r>
      <t>Top quartile of benchmarked companies for both engagement</t>
    </r>
    <r>
      <rPr>
        <vertAlign val="superscript"/>
        <sz val="11"/>
        <color rgb="FF000000"/>
        <rFont val="Arial"/>
        <family val="2"/>
      </rPr>
      <t>7</t>
    </r>
    <r>
      <rPr>
        <sz val="11"/>
        <color rgb="FF000000"/>
        <rFont val="Arial"/>
        <family val="2"/>
      </rPr>
      <t xml:space="preserve"> and inclusion</t>
    </r>
    <r>
      <rPr>
        <vertAlign val="superscript"/>
        <sz val="11"/>
        <color rgb="FF000000"/>
        <rFont val="Arial"/>
        <family val="2"/>
      </rPr>
      <t>8</t>
    </r>
  </si>
  <si>
    <r>
      <t>Average percent favorability engagement</t>
    </r>
    <r>
      <rPr>
        <vertAlign val="superscript"/>
        <sz val="11"/>
        <color rgb="FF000000"/>
        <rFont val="Arial"/>
        <family val="2"/>
      </rPr>
      <t>9</t>
    </r>
  </si>
  <si>
    <t>−</t>
  </si>
  <si>
    <t>1.0 p.p.</t>
  </si>
  <si>
    <t>Top Quartile FY23: 84%</t>
  </si>
  <si>
    <r>
      <t>Average percent favorability inclusion</t>
    </r>
    <r>
      <rPr>
        <vertAlign val="superscript"/>
        <sz val="11"/>
        <color rgb="FF000000"/>
        <rFont val="Arial"/>
        <family val="2"/>
      </rPr>
      <t>9</t>
    </r>
  </si>
  <si>
    <t>HBCUs and HSIs</t>
  </si>
  <si>
    <t>$10 million investment in Historically Black Colleges and Universities (HBCUs) and Hispanic-Serving Institutions (HSIs)</t>
  </si>
  <si>
    <t>$ invested (cumulative)</t>
  </si>
  <si>
    <t>$1.8M</t>
  </si>
  <si>
    <t>$4.7M</t>
  </si>
  <si>
    <t>$2.9M</t>
  </si>
  <si>
    <t>$10M</t>
  </si>
  <si>
    <t>Pay Equity</t>
  </si>
  <si>
    <t>100% pay equity across all employee levels on an annual basis</t>
  </si>
  <si>
    <t>$ earned by men/women; $ earned by white/U.S. racial and ethnic minorities</t>
  </si>
  <si>
    <t>Professional Development for Minorities</t>
  </si>
  <si>
    <t>2x investments focused on professional development for racial and ethnic minorities in the U.S. and women globally</t>
  </si>
  <si>
    <t>$ invested in professional development</t>
  </si>
  <si>
    <t>$76K</t>
  </si>
  <si>
    <t>$685K</t>
  </si>
  <si>
    <t>$800K</t>
  </si>
  <si>
    <t>$115K</t>
  </si>
  <si>
    <t>$724K</t>
  </si>
  <si>
    <t>2x</t>
  </si>
  <si>
    <t>Vice Presidents Inclusive Leadership Education</t>
  </si>
  <si>
    <t>100% of Vice Presidents complete and be credentialed on Inclusive Leadership education</t>
  </si>
  <si>
    <t>% VPs completing training</t>
  </si>
  <si>
    <t>-4.0 p.p.</t>
  </si>
  <si>
    <t>41 p.p.</t>
  </si>
  <si>
    <t>Business Diversity &amp; Inclusion</t>
  </si>
  <si>
    <r>
      <rPr>
        <sz val="11"/>
        <color rgb="FF000000"/>
        <rFont val="Arial"/>
      </rPr>
      <t>$1 billion cumulative spend on diverse suppliers</t>
    </r>
    <r>
      <rPr>
        <vertAlign val="superscript"/>
        <sz val="11"/>
        <color rgb="FF000000"/>
        <rFont val="Arial"/>
      </rPr>
      <t>11</t>
    </r>
  </si>
  <si>
    <t>$ spent on diverse suppliers (cumulative)</t>
  </si>
  <si>
    <t>$777M</t>
  </si>
  <si>
    <t>$1.4B</t>
  </si>
  <si>
    <t>$599M</t>
  </si>
  <si>
    <t>$1B</t>
  </si>
  <si>
    <r>
      <rPr>
        <b/>
        <i/>
        <sz val="11"/>
        <color rgb="FF000000"/>
        <rFont val="Arial"/>
      </rPr>
      <t>SUPPLIER</t>
    </r>
    <r>
      <rPr>
        <b/>
        <i/>
        <sz val="8"/>
        <color rgb="FF000000"/>
        <rFont val="Arial"/>
      </rPr>
      <t>14</t>
    </r>
  </si>
  <si>
    <t>Health &amp; Safety</t>
  </si>
  <si>
    <r>
      <rPr>
        <sz val="11"/>
        <color rgb="FF000000"/>
        <rFont val="Arial"/>
        <family val="2"/>
      </rPr>
      <t>100% of strategic suppliers are building healthy and safe workplaces</t>
    </r>
    <r>
      <rPr>
        <vertAlign val="superscript"/>
        <sz val="11"/>
        <color rgb="FF000000"/>
        <rFont val="Arial"/>
        <family val="2"/>
      </rPr>
      <t>15</t>
    </r>
  </si>
  <si>
    <t>% suppliers with Level 3 health and safety maturity</t>
  </si>
  <si>
    <t>29 p.p.</t>
  </si>
  <si>
    <t>54 p.p.</t>
  </si>
  <si>
    <t>Gender Equity</t>
  </si>
  <si>
    <r>
      <rPr>
        <sz val="11"/>
        <color rgb="FF000000"/>
        <rFont val="Arial"/>
      </rPr>
      <t>100% of strategic suppliers have gender equitable workplaces</t>
    </r>
    <r>
      <rPr>
        <vertAlign val="superscript"/>
        <sz val="11"/>
        <color rgb="FF000000"/>
        <rFont val="Arial"/>
      </rPr>
      <t>16</t>
    </r>
  </si>
  <si>
    <t>% suppliers achieving mature gender equitable capability</t>
  </si>
  <si>
    <t>21 p.p.</t>
  </si>
  <si>
    <t>23 p.p.</t>
  </si>
  <si>
    <t>Worker Engagement</t>
  </si>
  <si>
    <r>
      <rPr>
        <sz val="11"/>
        <color rgb="FF000000"/>
        <rFont val="Arial"/>
        <family val="2"/>
      </rPr>
      <t>100% of strategic suppliers are measuring and improving worker engagement</t>
    </r>
    <r>
      <rPr>
        <vertAlign val="superscript"/>
        <sz val="11"/>
        <color rgb="FF000000"/>
        <rFont val="Arial"/>
        <family val="2"/>
      </rPr>
      <t>17</t>
    </r>
  </si>
  <si>
    <t>% strategic suppliers measuring and improving engagement</t>
  </si>
  <si>
    <t>31 p.p.</t>
  </si>
  <si>
    <t>52 p.p.</t>
  </si>
  <si>
    <r>
      <rPr>
        <b/>
        <i/>
        <sz val="11"/>
        <color rgb="FF000000"/>
        <rFont val="Arial"/>
      </rPr>
      <t>FOUNDATIONAL EXPECTATIONS</t>
    </r>
    <r>
      <rPr>
        <b/>
        <i/>
        <sz val="8"/>
        <color rgb="FF000000"/>
        <rFont val="Arial"/>
      </rPr>
      <t>18</t>
    </r>
  </si>
  <si>
    <r>
      <t>Code of Conduct</t>
    </r>
    <r>
      <rPr>
        <b/>
        <vertAlign val="superscript"/>
        <sz val="11"/>
        <color rgb="FF000000"/>
        <rFont val="Arial"/>
        <family val="2"/>
      </rPr>
      <t>19</t>
    </r>
  </si>
  <si>
    <t>100% of facilities in our extended supply chain meet NIKE’s foundational labor, health, safety and environmental standards</t>
  </si>
  <si>
    <t>% compliance with Foundational Expectations</t>
  </si>
  <si>
    <t>10 p.p.</t>
  </si>
  <si>
    <t>-24 p.p.</t>
  </si>
  <si>
    <t>% of facilities measured for compliance of anticipated total scope</t>
  </si>
  <si>
    <t>2.9 p.p.</t>
  </si>
  <si>
    <t>34 p.p.</t>
  </si>
  <si>
    <t>PLANET</t>
  </si>
  <si>
    <t>Carbon</t>
  </si>
  <si>
    <r>
      <rPr>
        <sz val="11"/>
        <color rgb="FF000000"/>
        <rFont val="Arial"/>
      </rPr>
      <t>70% absolute reduction of greenhouse gas (GHG) emissions in owned or operated facilities through 100% renewable electricity and fleet electrification</t>
    </r>
    <r>
      <rPr>
        <vertAlign val="superscript"/>
        <sz val="11"/>
        <color rgb="FF000000"/>
        <rFont val="Arial"/>
      </rPr>
      <t>20,21</t>
    </r>
  </si>
  <si>
    <r>
      <t>Owned or operated facility GHG emissions (metric tons CO</t>
    </r>
    <r>
      <rPr>
        <vertAlign val="subscript"/>
        <sz val="11"/>
        <color rgb="FF000000"/>
        <rFont val="Arial"/>
        <family val="2"/>
      </rPr>
      <t>2</t>
    </r>
    <r>
      <rPr>
        <sz val="11"/>
        <color rgb="FF000000"/>
        <rFont val="Arial"/>
        <family val="2"/>
      </rPr>
      <t xml:space="preserve">e) </t>
    </r>
  </si>
  <si>
    <t>226K</t>
  </si>
  <si>
    <t>88K</t>
  </si>
  <si>
    <t>71K</t>
  </si>
  <si>
    <t>-19%</t>
  </si>
  <si>
    <t>-69%</t>
  </si>
  <si>
    <t>% renewable electricity</t>
  </si>
  <si>
    <r>
      <rPr>
        <sz val="11"/>
        <color rgb="FF000000"/>
        <rFont val="Arial"/>
      </rPr>
      <t>92%</t>
    </r>
    <r>
      <rPr>
        <sz val="8"/>
        <color rgb="FF000000"/>
        <rFont val="Arial"/>
      </rPr>
      <t>23</t>
    </r>
  </si>
  <si>
    <r>
      <rPr>
        <b/>
        <sz val="11"/>
        <color rgb="FF000000"/>
        <rFont val="Arial"/>
      </rPr>
      <t>96%</t>
    </r>
    <r>
      <rPr>
        <b/>
        <sz val="8"/>
        <color rgb="FF000000"/>
        <rFont val="Arial"/>
      </rPr>
      <t>22</t>
    </r>
  </si>
  <si>
    <t>4.2 p.p.</t>
  </si>
  <si>
    <t>48 p.p.</t>
  </si>
  <si>
    <r>
      <t>0% emissions change in manufacturing and transportation</t>
    </r>
    <r>
      <rPr>
        <vertAlign val="superscript"/>
        <sz val="11"/>
        <color rgb="FF000000"/>
        <rFont val="Arial"/>
        <family val="2"/>
      </rPr>
      <t>24</t>
    </r>
  </si>
  <si>
    <r>
      <t>Manufacturing and transportation GHG emissions (metric tons CO</t>
    </r>
    <r>
      <rPr>
        <vertAlign val="subscript"/>
        <sz val="11"/>
        <color rgb="FF000000"/>
        <rFont val="Arial"/>
        <family val="2"/>
      </rPr>
      <t>2</t>
    </r>
    <r>
      <rPr>
        <sz val="11"/>
        <color rgb="FF000000"/>
        <rFont val="Arial"/>
        <family val="2"/>
      </rPr>
      <t>e)</t>
    </r>
  </si>
  <si>
    <t>3.7M</t>
  </si>
  <si>
    <t>3.1M</t>
  </si>
  <si>
    <t>3.0M</t>
  </si>
  <si>
    <r>
      <rPr>
        <sz val="11"/>
        <color rgb="FF000000"/>
        <rFont val="Arial"/>
      </rPr>
      <t>0.5M metric tons emissions reduction through 50% environmentally preferred materials (EPM)</t>
    </r>
    <r>
      <rPr>
        <vertAlign val="superscript"/>
        <sz val="11"/>
        <color rgb="FF000000"/>
        <rFont val="Arial"/>
      </rPr>
      <t>25,26</t>
    </r>
  </si>
  <si>
    <r>
      <t>Materials GHG emissions reduced (metric tons CO</t>
    </r>
    <r>
      <rPr>
        <vertAlign val="subscript"/>
        <sz val="11"/>
        <color rgb="FF000000"/>
        <rFont val="Arial"/>
        <family val="2"/>
      </rPr>
      <t>2</t>
    </r>
    <r>
      <rPr>
        <sz val="11"/>
        <color rgb="FF000000"/>
        <rFont val="Arial"/>
        <family val="2"/>
      </rPr>
      <t>e)</t>
    </r>
  </si>
  <si>
    <t>96K</t>
  </si>
  <si>
    <t>794K</t>
  </si>
  <si>
    <t>832K</t>
  </si>
  <si>
    <t>37K</t>
  </si>
  <si>
    <t>736K</t>
  </si>
  <si>
    <t>500K</t>
  </si>
  <si>
    <t>% EPM</t>
  </si>
  <si>
    <t>-3.0 p.p.</t>
  </si>
  <si>
    <t>14 p.p.</t>
  </si>
  <si>
    <t>Waste</t>
  </si>
  <si>
    <r>
      <rPr>
        <sz val="11"/>
        <color rgb="FF000000"/>
        <rFont val="Arial"/>
      </rPr>
      <t>10% waste reduction per unit in manufacturing, distribution centers (DCs) and headquarters (HQs)</t>
    </r>
    <r>
      <rPr>
        <vertAlign val="superscript"/>
        <sz val="11"/>
        <color rgb="FF000000"/>
        <rFont val="Arial"/>
      </rPr>
      <t>27</t>
    </r>
  </si>
  <si>
    <t>Waste/unit (g/unit)</t>
  </si>
  <si>
    <t>-0.3%</t>
  </si>
  <si>
    <t>-8.2%</t>
  </si>
  <si>
    <r>
      <rPr>
        <sz val="11"/>
        <color rgb="FF000000"/>
        <rFont val="Arial"/>
      </rPr>
      <t>100% waste diverted; 80% recycled in manufacturing, packaging, DCs and HQs</t>
    </r>
    <r>
      <rPr>
        <vertAlign val="superscript"/>
        <sz val="11"/>
        <color rgb="FF000000"/>
        <rFont val="Arial"/>
      </rPr>
      <t>28</t>
    </r>
  </si>
  <si>
    <t>% waste diverted from landfill and incineration</t>
  </si>
  <si>
    <t>0.2 p.p</t>
  </si>
  <si>
    <t>1.2 p.p.</t>
  </si>
  <si>
    <t>% waste recycled</t>
  </si>
  <si>
    <t>2.3 p.p.</t>
  </si>
  <si>
    <t>6.9 p.p.</t>
  </si>
  <si>
    <r>
      <rPr>
        <sz val="11"/>
        <color rgb="FF000000"/>
        <rFont val="Arial"/>
      </rPr>
      <t>10x finished product waste (FPW) refurbished, recycled or donated</t>
    </r>
    <r>
      <rPr>
        <vertAlign val="superscript"/>
        <sz val="11"/>
        <color rgb="FF000000"/>
        <rFont val="Arial"/>
      </rPr>
      <t>29</t>
    </r>
  </si>
  <si>
    <t>FPW collected and recycled or donated (units)</t>
  </si>
  <si>
    <t>1.3M</t>
  </si>
  <si>
    <t>17.9M</t>
  </si>
  <si>
    <t>14.8M</t>
  </si>
  <si>
    <t>14x</t>
  </si>
  <si>
    <t>10x</t>
  </si>
  <si>
    <t>Water</t>
  </si>
  <si>
    <r>
      <rPr>
        <sz val="11"/>
        <color rgb="FF000000"/>
        <rFont val="Arial"/>
        <family val="2"/>
      </rPr>
      <t>25% reduction in freshwater usage per kg textile dyeing and finishing</t>
    </r>
    <r>
      <rPr>
        <vertAlign val="superscript"/>
        <sz val="11"/>
        <color rgb="FF000000"/>
        <rFont val="Arial"/>
        <family val="2"/>
      </rPr>
      <t>30</t>
    </r>
  </si>
  <si>
    <t>Freshwater use/kg textile dyeing and finishing (L/kg)</t>
  </si>
  <si>
    <r>
      <rPr>
        <sz val="11"/>
        <color rgb="FF000000"/>
        <rFont val="Arial"/>
        <family val="2"/>
      </rPr>
      <t>13B liters water restored in our extended cotton supply chain</t>
    </r>
    <r>
      <rPr>
        <vertAlign val="superscript"/>
        <sz val="11"/>
        <color rgb="FF000000"/>
        <rFont val="Arial"/>
        <family val="2"/>
      </rPr>
      <t>31</t>
    </r>
  </si>
  <si>
    <t>Water restored (L)</t>
  </si>
  <si>
    <t>0.7B</t>
  </si>
  <si>
    <r>
      <t>3.8B</t>
    </r>
    <r>
      <rPr>
        <vertAlign val="superscript"/>
        <sz val="11"/>
        <color rgb="FF000000"/>
        <rFont val="Arial"/>
        <family val="2"/>
      </rPr>
      <t>32</t>
    </r>
  </si>
  <si>
    <t>5.2B</t>
  </si>
  <si>
    <t>1.4B</t>
  </si>
  <si>
    <t>4.5B</t>
  </si>
  <si>
    <t>13B</t>
  </si>
  <si>
    <t>Chemistry</t>
  </si>
  <si>
    <t>Adopt clean chemistry alternatives for our 10 priority chemistries across our supply chain</t>
  </si>
  <si>
    <t># priority chemistries with clean chemistry alternative</t>
  </si>
  <si>
    <t>PLAY</t>
  </si>
  <si>
    <t>Active Kids</t>
  </si>
  <si>
    <t>Drive sustained community impact by getting kids moving in our key cities and sourcing backyards with 50% girl participation</t>
  </si>
  <si>
    <t>% girl participation</t>
  </si>
  <si>
    <t>-2.0 p.p.</t>
  </si>
  <si>
    <t>Inclusive Community</t>
  </si>
  <si>
    <t>Invest $125 million to support organizations working to level the playing field and addressing racial inequality</t>
  </si>
  <si>
    <t>$70M</t>
  </si>
  <si>
    <t>$111M</t>
  </si>
  <si>
    <t>$41M</t>
  </si>
  <si>
    <t>$125M</t>
  </si>
  <si>
    <t>Employee Engagement</t>
  </si>
  <si>
    <t>Increase the number of employees engaged in their communities to a minimum of 35%</t>
  </si>
  <si>
    <t>% of employees engaged in their communities</t>
  </si>
  <si>
    <t xml:space="preserve">-5.0 p.p. </t>
  </si>
  <si>
    <t>-7.0 p.p.</t>
  </si>
  <si>
    <t>Community Investment</t>
  </si>
  <si>
    <t xml:space="preserve">Invest 2% of prior-year, pre-tax income to drive positive impact in communities </t>
  </si>
  <si>
    <t>% of prior-year, pre-tax income invested</t>
  </si>
  <si>
    <t>-0.1 p.p.</t>
  </si>
  <si>
    <t>0.2 p.p.</t>
  </si>
  <si>
    <t>14 Strategic suppliers: strategic finished goods suppliers; suppliers representing approximately 80% of total footwear and apparel production.</t>
  </si>
  <si>
    <t>15 Healthy and safe workplaces: Supplier must reach Level 3 safety and health maturity on Culture of Safety Maturity Assessment.</t>
  </si>
  <si>
    <t>16 In order to reach mature gender equity, suppliers must achieve an overall Gender Equity Self-Diagnostic Tool (SDT) score of 71% and perform at a certain threshold in each of the SDT’s 10 domains. The baseline for this target was created in FY21 as the tools to measure didn’t exist when the target period started.</t>
  </si>
  <si>
    <t xml:space="preserve">17 Criteria for measuring and improving engagement must be met for the factory to count toward the target key performance indicator of measuring and improving. While most suppliers have started to measure worker voice in their facilities, not all have advanced to the next phase, which involves responding to and improving worker experience. The baseline for this target was created in FY21 and this information wasn’t measured in FY20. </t>
  </si>
  <si>
    <t xml:space="preserve">18 Targets focused across the NIKE supply chain – including Tier 1 finished goods and Tier 2 materials suppliers, their workers and facilities – as well as NIKE employees at owned and operated facilities (Air MI and DCs). </t>
  </si>
  <si>
    <t>19 The Supplier Code of Conduct and Code Leadership Standards lay out the minimum standards we expect each supplier facility to meet. Our scope for this target includes Tier 1 finished good suppliers, Tier 2 material suppliers representing approximately 90% of our footwear uppers and apparel materials and focus DCs representing at least 80% of volume, and our NIKE-owned or -operated manufacturing facilities (Air MI).</t>
  </si>
  <si>
    <t>20 Target represents NIKE’s Scope 1 and 2 emissions footprint, including office facilities and HQ fleet vehicles, retail stores, DCs, Air MI facilities and corporate jets.</t>
  </si>
  <si>
    <t>21 FY15 is the baseline for NIKE’s RE100 target, which was 14% renewable energy</t>
  </si>
  <si>
    <t>22 This metric is part of Management’s Assertion on select sustainability metrics, which PwC has performed limited assurance over for the period from June 1, 2022 to May 31, 2023, as indicated in the Assurance Report.</t>
  </si>
  <si>
    <t>23 NIKE has corrected our renewable electricity consumption and thus the related percentage reported, shifting FY22 renewable electricity consumption from 547,406 MWh to 542,540 MWh and the related percentage from 93% to 92%. We believe the facts and circumstances associated with these changes are immaterial both quantitatively and qualitatively; however, we have corrected the amounts reported to reflect the accounting for energy attribute certificates that were (i) purchased and retired but not applied to electricity consumed and (ii) purchased and retired but over-applied in relation to electricity consumed during our fiscal year ended May 31, 2022.</t>
  </si>
  <si>
    <t>24 Scope includes suppliers representing approximately 80% of total footwear and apparel production; suppliers representing approximately 80% of total footwear upper materials and apparel textiles production; and about 95% of both inbound and outbound transportation.</t>
  </si>
  <si>
    <t>25 Footwear EPMs – Recycled polyester, recycled rubber and leather that reduces NIKE’s enterprise carbon impact vs. conventional leather based on defined criteria; currently includes synthetic leather, Flyleather, and Lower Carbon Impact Leather. Apparel EPMs – recycled polyester, organic cotton, recycled cotton, third-party certified cotton. Flyleather is a performance material that looks, feels and smells like leather, and is made with at least 50% recycled leather fiber, combined with synthetic materials, using an innovative water-powered process. NIKE Flyleather has a lower impact on climate change compared to traditional leather.</t>
  </si>
  <si>
    <t>26 FY22 emissions savings via EPM and % EPM figures have been updated, resulting from revisions to underlying leather and third-party certified cotton data. Leather volume data was revised due to the integration of Lower Carbon Impact Leather. The reduced carbon impact associated with Lower Carbon Impact Leather materials resulted from enhancements in both data and operational changes such as the reduction of waste, incorporation of renewable energy and increased efficiencies in the material production process, reflected via individual vendor life cycle assessments (LCAs) specific to their operations and manufacturing and effective for FY22. Given there is judgment and estimation underlying LCAs, NIKE will continue to disclose historically reported target figures. Excluding leather, FY22 and FY23 respective emissions savings (metric tonnes of CO2e) and EPM % reported as 0.183M / 39% and 0.210 / 39%. Historical % EPM, and third-party certified volume data have been updated due to a methodology adjustment that recalibrated annual performance calculations by releasing a quarterly cap on the amount.</t>
  </si>
  <si>
    <t>27 Scope includes packaging applied in finished goods manufacturing; suppliers representing approximately 95% of total footwear production; Air MI; DCs; and HQ locations. Apparel manufacturing waste is not yet included in reporting scope as data sources for target tracking are under establishment.</t>
  </si>
  <si>
    <t>28 Scope includes suppliers representing approximately 95% of total footwear production and about 60% of apparel; Air MI; DCs; and HQ locations. Diverted: Includes waste to energy recovery, recycled waste and composted waste. Recycled: Includes recycled and composted waste.</t>
  </si>
  <si>
    <t>29 FPW consists of unsellable inventory in NIKE’s marketplace (product deemed as unsellable through normal sales channels including aged inventory, samples, defectives, consumer returns) and end-of-life product owned by the consumer. We use an apportioned methodology when accounting for units recycled, to address the constraint that a full unit cannot always be recycled. To avoid overclaiming benefits from recycling, we only count the portion of the unit that is recycled in our target performance numbers.</t>
  </si>
  <si>
    <t>30 Scope includes suppliers representing approximately 80% of total footwear upper materials and apparel textiles production.</t>
  </si>
  <si>
    <t xml:space="preserve">
31 Restored through a portfolio of projects that support long-term resilience for water-stressed ecosystems and communities within our extended cotton supply chain.</t>
  </si>
  <si>
    <t>32 Total water savings estimates for FY20 and FY21 were revised as a result of irrigation efficiency estimate updates as NIKE’s technical partner in water restoration provided NIKE with an updated assessment of the India project’s water savings due to an error in the initial calculation. This shifted FY21 and FY22 estimated water savings from 2.06B and 3.72B to 2.1B and 3.8B respectively</t>
  </si>
  <si>
    <r>
      <t>Data Tables</t>
    </r>
    <r>
      <rPr>
        <b/>
        <vertAlign val="superscript"/>
        <sz val="11"/>
        <color theme="1"/>
        <rFont val="Arial"/>
      </rPr>
      <t>73</t>
    </r>
  </si>
  <si>
    <r>
      <rPr>
        <b/>
        <sz val="11"/>
        <color rgb="FFFFFFFF"/>
        <rFont val="Arial"/>
      </rPr>
      <t>People</t>
    </r>
    <r>
      <rPr>
        <b/>
        <vertAlign val="superscript"/>
        <sz val="11"/>
        <color rgb="FFFFFFFF"/>
        <rFont val="Arial"/>
      </rPr>
      <t>74</t>
    </r>
  </si>
  <si>
    <t>NIKE, INC. TOTALS BY GENDER (GLOBAL, CORPORATE)</t>
  </si>
  <si>
    <r>
      <t>FY22</t>
    </r>
    <r>
      <rPr>
        <vertAlign val="superscript"/>
        <sz val="11"/>
        <color theme="1"/>
        <rFont val="Arial"/>
      </rPr>
      <t>75</t>
    </r>
  </si>
  <si>
    <t>FY23</t>
  </si>
  <si>
    <t>Change FY22–FY23</t>
  </si>
  <si>
    <t>FY25 Target</t>
  </si>
  <si>
    <t>GENDER</t>
  </si>
  <si>
    <t>#</t>
  </si>
  <si>
    <t>%</t>
  </si>
  <si>
    <t>p.p.</t>
  </si>
  <si>
    <t>ALL EMPLOYEES</t>
  </si>
  <si>
    <t>Female</t>
  </si>
  <si>
    <t>-0.3 p.p.</t>
  </si>
  <si>
    <t>Male</t>
  </si>
  <si>
    <t>0.3 p.p.</t>
  </si>
  <si>
    <t>Total</t>
  </si>
  <si>
    <t>0 p.p.</t>
  </si>
  <si>
    <t>LEADERSHIP POSITIONS (VP+)</t>
  </si>
  <si>
    <t>-0.2 p.p.</t>
  </si>
  <si>
    <t>NIKE, INC. TOTALS BY REM GROUP (U.S. ONLY, CORPORATE, DIRECTOR+)</t>
  </si>
  <si>
    <t>FY22</t>
  </si>
  <si>
    <t>Director+</t>
  </si>
  <si>
    <t>Non-REM</t>
  </si>
  <si>
    <t>-0.5 p.p.</t>
  </si>
  <si>
    <t>REM</t>
  </si>
  <si>
    <t>0.0 p.p.</t>
  </si>
  <si>
    <t>American Indian or Alaskan
Native (Not Hispanic/Latino)</t>
  </si>
  <si>
    <t>0.4%</t>
  </si>
  <si>
    <t>0.3%</t>
  </si>
  <si>
    <t>Asian (Not Hispanic/Latino)</t>
  </si>
  <si>
    <t>14.5%</t>
  </si>
  <si>
    <t>14.6%</t>
  </si>
  <si>
    <t>0.1 p.p.</t>
  </si>
  <si>
    <t>Black or African American
(Not Hispanic/Latino)</t>
  </si>
  <si>
    <t>6.8%</t>
  </si>
  <si>
    <t>6.7%</t>
  </si>
  <si>
    <t>Hispanic/Latino</t>
  </si>
  <si>
    <t>6.9%</t>
  </si>
  <si>
    <t>7.4%</t>
  </si>
  <si>
    <t>Native Hawaiian or Other Pacific Islander (Not Hispanic/Latino)</t>
  </si>
  <si>
    <t>0.1%</t>
  </si>
  <si>
    <t>0.2%</t>
  </si>
  <si>
    <t>Two or More Races
(Not Hispanic/Latino)</t>
  </si>
  <si>
    <t>4.6%</t>
  </si>
  <si>
    <t>4.5%</t>
  </si>
  <si>
    <t>Unknown</t>
  </si>
  <si>
    <t>1.2%</t>
  </si>
  <si>
    <t>1.6%</t>
  </si>
  <si>
    <t>White (Not Hispanic/Latino)</t>
  </si>
  <si>
    <t>65.5%</t>
  </si>
  <si>
    <t>64.7%</t>
  </si>
  <si>
    <t>-0.8 p.p.</t>
  </si>
  <si>
    <t>NIKE, INC. TOTALS BY REM GROUP (GLOBAL, CORPORATE, VP+)</t>
  </si>
  <si>
    <t>VP+</t>
  </si>
  <si>
    <t>-0.7 p.p.</t>
  </si>
  <si>
    <t>0.7 p.p.</t>
  </si>
  <si>
    <t>0.0%</t>
  </si>
  <si>
    <t>0.6%</t>
  </si>
  <si>
    <t>0.6 p.p.</t>
  </si>
  <si>
    <t>11.1%</t>
  </si>
  <si>
    <t>11.8%</t>
  </si>
  <si>
    <t>14.3%</t>
  </si>
  <si>
    <t>4.9%</t>
  </si>
  <si>
    <t>3.8%</t>
  </si>
  <si>
    <t>1.7%</t>
  </si>
  <si>
    <t>63.4%</t>
  </si>
  <si>
    <t>62.7%</t>
  </si>
  <si>
    <t>NIKE, INC. TOTALS BY REM GROUP (U.S. ONLY, ALL LINES OF BUSINESS, ALL GRADES)</t>
  </si>
  <si>
    <t>All BANDS</t>
  </si>
  <si>
    <t>-1.2 p.p.</t>
  </si>
  <si>
    <t>10.7%</t>
  </si>
  <si>
    <t>25.4%</t>
  </si>
  <si>
    <t>1.8 p.p.</t>
  </si>
  <si>
    <t>0.7%</t>
  </si>
  <si>
    <t>5.8%</t>
  </si>
  <si>
    <t>5.3%</t>
  </si>
  <si>
    <t>2.0%</t>
  </si>
  <si>
    <t>0.8 p.p.</t>
  </si>
  <si>
    <t>35.8%</t>
  </si>
  <si>
    <t>33.8%</t>
  </si>
  <si>
    <t>NIKE, INC. TOTALS BY REM PERCENTAGE (U.S. ONLY, ALL LINES OF BUSINESS, ALL GRADES) BY GRADES</t>
  </si>
  <si>
    <t>ALL BANDS</t>
  </si>
  <si>
    <t>NIKE, Inc.</t>
  </si>
  <si>
    <t>VPLT</t>
  </si>
  <si>
    <t>Sr. Director</t>
  </si>
  <si>
    <t>-1.1 p.p.</t>
  </si>
  <si>
    <t>Director</t>
  </si>
  <si>
    <t>1.3 p.p.</t>
  </si>
  <si>
    <t>Manager</t>
  </si>
  <si>
    <r>
      <rPr>
        <sz val="11"/>
        <color rgb="FF000000"/>
        <rFont val="Arial"/>
      </rPr>
      <t>Mid Level</t>
    </r>
    <r>
      <rPr>
        <vertAlign val="superscript"/>
        <sz val="11"/>
        <color rgb="FF000000"/>
        <rFont val="Arial"/>
      </rPr>
      <t>76</t>
    </r>
  </si>
  <si>
    <t>3.5 p.p.</t>
  </si>
  <si>
    <t>Entry Level</t>
  </si>
  <si>
    <t>NIKE, INC. TOTALS BY REM GROUP (U.S. ONLY, CORPORATE, ALL GRADES)</t>
  </si>
  <si>
    <t>-1.7 p.p.</t>
  </si>
  <si>
    <t>17.0%</t>
  </si>
  <si>
    <t>18.1%</t>
  </si>
  <si>
    <t>1.1 p.p.</t>
  </si>
  <si>
    <t>7.0%</t>
  </si>
  <si>
    <t>7.5%</t>
  </si>
  <si>
    <t>0.4 p.p.</t>
  </si>
  <si>
    <t>8.1%</t>
  </si>
  <si>
    <t>8.6%</t>
  </si>
  <si>
    <t>6.0%</t>
  </si>
  <si>
    <t>5.7%</t>
  </si>
  <si>
    <t>1.1%</t>
  </si>
  <si>
    <t>60.1%</t>
  </si>
  <si>
    <t>57.7%</t>
  </si>
  <si>
    <t>-2.3 p.p.</t>
  </si>
  <si>
    <t>BOARD OF DIRECTORS</t>
  </si>
  <si>
    <t>36.4%</t>
  </si>
  <si>
    <t>33.3%</t>
  </si>
  <si>
    <t>63.6%</t>
  </si>
  <si>
    <t>66.7%</t>
  </si>
  <si>
    <t>RACE/ETHNICITY</t>
  </si>
  <si>
    <t>American Indian or Alaskan Native</t>
  </si>
  <si>
    <t>Black or African American</t>
  </si>
  <si>
    <t>27.3%</t>
  </si>
  <si>
    <t>25.0%</t>
  </si>
  <si>
    <t>Asian</t>
  </si>
  <si>
    <t>Native Hawaiian or Other Pacific Islander</t>
  </si>
  <si>
    <t>Two or More Races</t>
  </si>
  <si>
    <t>White</t>
  </si>
  <si>
    <t>73 Totals might not reflect summation of numbers due to rounding of numbers and only showing of whole numbers rather than decimals.</t>
  </si>
  <si>
    <t>74 Employee representation metrics in this report regarding race/ethnicity characteristics are based on voluntary employee self-identification or, in conformance with EEO-1 data collection guidance, these employees have been identified using commonly accepted HR practices as “Not Hispanic/Latino,” “Two or More Races,” “or Unknown.”</t>
  </si>
  <si>
    <t>75 Historical data was adjusted because of the Job and Pay Architecture Modernization efforts completed before the end of FY23. The total number of “Corporate” roles changed because some legacy “Retail,” “Air Manufacturing Innovation (Air MI)” and “Distribution Center (DC)” roles were reclassified as “Corporate” to better reflect the nature of the work.</t>
  </si>
  <si>
    <t>76 As part of NIKE’s new Job and Pay Architecture Modernization efforts pay bands were replaced with pay grades. As a result, the legacy “Manager”
pay band was broken into two grades: “Manager” and “Mid Level.”</t>
  </si>
  <si>
    <t>Occupational Health &amp; Safety</t>
  </si>
  <si>
    <r>
      <rPr>
        <b/>
        <sz val="11"/>
        <color rgb="FFFFFFFF"/>
        <rFont val="Arial"/>
        <family val="2"/>
      </rPr>
      <t>OH&amp;S DATA</t>
    </r>
    <r>
      <rPr>
        <b/>
        <vertAlign val="superscript"/>
        <sz val="11"/>
        <color rgb="FFFFFFFF"/>
        <rFont val="Arial"/>
        <family val="2"/>
      </rPr>
      <t>77</t>
    </r>
    <r>
      <rPr>
        <b/>
        <sz val="11"/>
        <color rgb="FFFFFFFF"/>
        <rFont val="Arial"/>
        <family val="2"/>
      </rPr>
      <t xml:space="preserve"> FOR NIKE EMPLOYEES</t>
    </r>
    <r>
      <rPr>
        <b/>
        <vertAlign val="superscript"/>
        <sz val="11"/>
        <color rgb="FFFFFFFF"/>
        <rFont val="Arial"/>
        <family val="2"/>
      </rPr>
      <t>78</t>
    </r>
    <r>
      <rPr>
        <b/>
        <sz val="11"/>
        <color rgb="FFFFFFFF"/>
        <rFont val="Arial"/>
        <family val="2"/>
      </rPr>
      <t xml:space="preserve"> AND TIER 1 FOCUS FACTORIES</t>
    </r>
    <r>
      <rPr>
        <b/>
        <vertAlign val="superscript"/>
        <sz val="11"/>
        <color rgb="FFFFFFFF"/>
        <rFont val="Arial"/>
        <family val="2"/>
      </rPr>
      <t>79</t>
    </r>
  </si>
  <si>
    <t xml:space="preserve">NIKE Employees </t>
  </si>
  <si>
    <t>CY20</t>
  </si>
  <si>
    <t>CY21</t>
  </si>
  <si>
    <t>CY22</t>
  </si>
  <si>
    <t>Distribution (Industry Code: 493110)</t>
  </si>
  <si>
    <t>Total Case Incident Rate (TCIR)</t>
  </si>
  <si>
    <t>NIKE</t>
  </si>
  <si>
    <r>
      <rPr>
        <sz val="11"/>
        <color rgb="FF000000"/>
        <rFont val="Arial"/>
        <family val="2"/>
      </rPr>
      <t>Industry</t>
    </r>
    <r>
      <rPr>
        <vertAlign val="superscript"/>
        <sz val="11"/>
        <color rgb="FF000000"/>
        <rFont val="Arial"/>
        <family val="2"/>
      </rPr>
      <t>80</t>
    </r>
  </si>
  <si>
    <r>
      <t>Lost Time Injury Rate (LTIR)</t>
    </r>
    <r>
      <rPr>
        <vertAlign val="superscript"/>
        <sz val="11"/>
        <rFont val="Arial"/>
        <family val="2"/>
      </rPr>
      <t>81</t>
    </r>
  </si>
  <si>
    <t>Industry</t>
  </si>
  <si>
    <t>Air MI (Industry Code: 326199)</t>
  </si>
  <si>
    <t>TCIR</t>
  </si>
  <si>
    <t>4.81</t>
  </si>
  <si>
    <t>LTIR</t>
  </si>
  <si>
    <t>1.93</t>
  </si>
  <si>
    <t>Offices (Industry Code: 551114)</t>
  </si>
  <si>
    <r>
      <t>TIER 1 FOCUS FACTORIES</t>
    </r>
    <r>
      <rPr>
        <b/>
        <vertAlign val="superscript"/>
        <sz val="11"/>
        <color rgb="FF000000"/>
        <rFont val="Arial"/>
        <family val="2"/>
      </rPr>
      <t>82,83</t>
    </r>
  </si>
  <si>
    <t>Footwear (Industry Code: 3162)</t>
  </si>
  <si>
    <t>Supplier</t>
  </si>
  <si>
    <t>Apparel (Industry Code: 3152)</t>
  </si>
  <si>
    <t>77 Starting with FY23, OH&amp;S data is now reported using fiscal year (FY) metrics. Due to challenges disaggregating historical data, years prior to FY23 are represented by calendar year figures. Additionally, industry data remains CY-based.</t>
  </si>
  <si>
    <t>78 NIKE Employee injury data is collected based on U.S. legal reporting requirements, reporting on all NIKE’s operations except retail, which is excluded from OSHA recordkeeping requirements. Retail will be included in future reports.</t>
  </si>
  <si>
    <t>79 Tier 1 focus factories are key strategic contract factories within our supply chain that represent the majority of finished goods production of NIKE Footwear, Apparel and Converse Footwear</t>
  </si>
  <si>
    <t>80 The industry average comes from the U.S. Department of Labor; Bureau of Labor Statistics (BLS) . Each industry classification (such as DC, Air Manufacturing Innovation (Air MI), Offices, Footwear Manufacturing, Apparel Manufacturing) reports a separate average for recordable injuries and lost time rates (which are captured). BLS industry rates are based upon most recently available Calendar Year data (2022).</t>
  </si>
  <si>
    <t>81 Recommended days off for similar injuries varies outside of the U.S., impacting upward the average rates shown here. When isolated by geography, many operating units report below-average rates.</t>
  </si>
  <si>
    <t>82 Starting with FY23, OH&amp;S data is now reported using fiscal year (FY) metrics. Due to challenges disaggregating historical data, years prior to FY23 are represented by calendar year figures. Additionally, industry data remains CY-based.</t>
  </si>
  <si>
    <t>83 Tier 1 focus factory data is self-reported by factories and may be incomplete. At the time of the FY23 NIKE, Inc. Impact Report publication, December 2023 data was estimated for factories where actual data was unavailable. The BLS does not calculate manufacturing rates for equipment/accessories. As of CY23, there are no accessories focus factories.</t>
  </si>
  <si>
    <t>Code of Conduct</t>
  </si>
  <si>
    <t>SUSTAINABLE MANUFACTURING &amp; SOURCING INDEX (SMSI) FACTORY RATINGS</t>
  </si>
  <si>
    <t>FY20</t>
  </si>
  <si>
    <t>FY21</t>
  </si>
  <si>
    <t>Gold</t>
  </si>
  <si>
    <t>World-leading manufacturing standards and innovation</t>
  </si>
  <si>
    <t>Silver</t>
  </si>
  <si>
    <t>Industry-leading manufacturing standards and innovation</t>
  </si>
  <si>
    <t>Bronze</t>
  </si>
  <si>
    <t xml:space="preserve">Baseline compliance with our supplier Code of Conduct </t>
  </si>
  <si>
    <t>Red</t>
  </si>
  <si>
    <t>Serious issues or failure to return to compliance;
remediation plans in place to address or under review to exit</t>
  </si>
  <si>
    <t>No Rating</t>
  </si>
  <si>
    <t>Enrollment in process</t>
  </si>
  <si>
    <t>Zero Tolerance</t>
  </si>
  <si>
    <t>Critical issues demanding immediate action; remediation
steps to address the issue or under review to exit</t>
  </si>
  <si>
    <t>FOUNDATIONAL EXPECTATIONS TARGET PERFORMANCE BY VALUE CHAIN AREA</t>
  </si>
  <si>
    <t xml:space="preserve">p.p. </t>
  </si>
  <si>
    <t>All NIKE</t>
  </si>
  <si>
    <t>Tier 1</t>
  </si>
  <si>
    <t>-8 p.p.</t>
  </si>
  <si>
    <t>Tier 2</t>
  </si>
  <si>
    <t>+38 p.p.</t>
  </si>
  <si>
    <t>DC</t>
  </si>
  <si>
    <t>+37 p.p.</t>
  </si>
  <si>
    <t>Air MI</t>
  </si>
  <si>
    <t>+75 p.p.</t>
  </si>
  <si>
    <t>WORKER COUNT RESULTS</t>
  </si>
  <si>
    <t xml:space="preserve"> Tier 2</t>
  </si>
  <si>
    <t>DCs</t>
  </si>
  <si>
    <t>FY23 Total</t>
  </si>
  <si>
    <t>Americas</t>
  </si>
  <si>
    <t>EMEA</t>
  </si>
  <si>
    <t>N Asia</t>
  </si>
  <si>
    <t>S Asia</t>
  </si>
  <si>
    <t>SE Asia</t>
  </si>
  <si>
    <t>TOTAL</t>
  </si>
  <si>
    <t>AUDIT COUNTS</t>
  </si>
  <si>
    <r>
      <rPr>
        <sz val="11"/>
        <color rgb="FF000000"/>
        <rFont val="Arial"/>
        <family val="2"/>
      </rPr>
      <t>SLCP</t>
    </r>
    <r>
      <rPr>
        <vertAlign val="superscript"/>
        <sz val="11"/>
        <color rgb="FF000000"/>
        <rFont val="Arial"/>
        <family val="2"/>
      </rPr>
      <t>44</t>
    </r>
  </si>
  <si>
    <r>
      <rPr>
        <sz val="11"/>
        <color rgb="FF000000"/>
        <rFont val="Arial"/>
      </rPr>
      <t>SAC's FEM</t>
    </r>
    <r>
      <rPr>
        <vertAlign val="superscript"/>
        <sz val="11"/>
        <color rgb="FF000000"/>
        <rFont val="Arial"/>
      </rPr>
      <t>44</t>
    </r>
  </si>
  <si>
    <r>
      <rPr>
        <sz val="11"/>
        <color rgb="FF000000"/>
        <rFont val="Arial"/>
        <family val="2"/>
      </rPr>
      <t>ZDHC</t>
    </r>
    <r>
      <rPr>
        <vertAlign val="superscript"/>
        <sz val="11"/>
        <color rgb="FF000000"/>
        <rFont val="Arial"/>
        <family val="2"/>
      </rPr>
      <t xml:space="preserve">44 </t>
    </r>
    <r>
      <rPr>
        <sz val="11"/>
        <color rgb="FF000000"/>
        <rFont val="Arial"/>
        <family val="2"/>
      </rPr>
      <t>Wastewater Guidelines</t>
    </r>
  </si>
  <si>
    <t>DECA</t>
  </si>
  <si>
    <t>FLA</t>
  </si>
  <si>
    <t>Better Work</t>
  </si>
  <si>
    <r>
      <t>100%</t>
    </r>
    <r>
      <rPr>
        <vertAlign val="superscript"/>
        <sz val="11"/>
        <rFont val="Arial"/>
        <family val="2"/>
      </rPr>
      <t>45</t>
    </r>
  </si>
  <si>
    <t>AUDIT NON-COMPLIANCES</t>
  </si>
  <si>
    <t>AUDIT, NON-COMPLIANCE</t>
  </si>
  <si>
    <t>% of Tier 1 Total</t>
  </si>
  <si>
    <t>% of Tier 2 Total</t>
  </si>
  <si>
    <t>% of DCs Total</t>
  </si>
  <si>
    <t>Age Standards</t>
  </si>
  <si>
    <t>Air Emissions</t>
  </si>
  <si>
    <t>Building Is Safe</t>
  </si>
  <si>
    <t>Chemical Management</t>
  </si>
  <si>
    <t>Code is Fully Implemented</t>
  </si>
  <si>
    <t xml:space="preserve">Discrimination </t>
  </si>
  <si>
    <t>Dorms, Canteen and Childcare</t>
  </si>
  <si>
    <t>Fire and Emergency Action</t>
  </si>
  <si>
    <r>
      <t>Forced or Compulsory Labor</t>
    </r>
    <r>
      <rPr>
        <vertAlign val="superscript"/>
        <sz val="11"/>
        <color theme="1"/>
        <rFont val="Arial"/>
        <family val="2"/>
      </rPr>
      <t>84</t>
    </r>
  </si>
  <si>
    <t xml:space="preserve">Freedom of Association and Collective Bargaining </t>
  </si>
  <si>
    <t xml:space="preserve">Harassment and Abuse </t>
  </si>
  <si>
    <t>Hazardous Waste</t>
  </si>
  <si>
    <t>Occupational Health and Hygiene</t>
  </si>
  <si>
    <t>Regular Employment</t>
  </si>
  <si>
    <t xml:space="preserve">Solid Waste (Non-Hazarodus Waste) </t>
  </si>
  <si>
    <t>Wages and Benefits</t>
  </si>
  <si>
    <t>Wastewater</t>
  </si>
  <si>
    <t xml:space="preserve">Working Hours </t>
  </si>
  <si>
    <t xml:space="preserve">Workplace Is Safe </t>
  </si>
  <si>
    <t>% COMPLIANCE WITH FOUNDATIONAL EXPECTATIONS</t>
  </si>
  <si>
    <t>FY20 target scope (T1 &amp; high-visibility T2)</t>
  </si>
  <si>
    <t>FY25 target scope expansion (additional T2, DCs &amp; Air MI)</t>
  </si>
  <si>
    <t>NA</t>
  </si>
  <si>
    <t>44 Number of reports received.</t>
  </si>
  <si>
    <t>45 Totals might not reflect summation of numbers due to rounding of numbers and only showing of whole numbers rather than decimals.</t>
  </si>
  <si>
    <t>84 “All work or service which is exacted from any person under the menace of any penalty and for which the said person has not offered himself voluntarily.” – International Labour Organization.</t>
  </si>
  <si>
    <t>Materials</t>
  </si>
  <si>
    <r>
      <rPr>
        <b/>
        <sz val="11"/>
        <color rgb="FFFFFFFF"/>
        <rFont val="Arial"/>
      </rPr>
      <t>TOP FIVE MATERIALS</t>
    </r>
    <r>
      <rPr>
        <b/>
        <vertAlign val="superscript"/>
        <sz val="10"/>
        <color rgb="FFFFFFFF"/>
        <rFont val="Arial"/>
      </rPr>
      <t>52</t>
    </r>
    <r>
      <rPr>
        <b/>
        <sz val="11"/>
        <color rgb="FFFFFFFF"/>
        <rFont val="Arial"/>
      </rPr>
      <t xml:space="preserve"> IN PRODUCT BY VOLUME</t>
    </r>
    <r>
      <rPr>
        <b/>
        <vertAlign val="superscript"/>
        <sz val="11"/>
        <color rgb="FFFFFFFF"/>
        <rFont val="Arial"/>
      </rPr>
      <t>53</t>
    </r>
  </si>
  <si>
    <t>Polyester</t>
  </si>
  <si>
    <t>Recycled</t>
  </si>
  <si>
    <t>metric tons</t>
  </si>
  <si>
    <t>Total Polyester Use</t>
  </si>
  <si>
    <r>
      <t>Cotton</t>
    </r>
    <r>
      <rPr>
        <b/>
        <vertAlign val="superscript"/>
        <sz val="11"/>
        <color rgb="FF000000"/>
        <rFont val="Arial"/>
      </rPr>
      <t>54</t>
    </r>
  </si>
  <si>
    <t>Organic</t>
  </si>
  <si>
    <t>Third-party Certified</t>
  </si>
  <si>
    <t xml:space="preserve">Total Cotton Use </t>
  </si>
  <si>
    <t>Rubber</t>
  </si>
  <si>
    <t>Total Rubber Use</t>
  </si>
  <si>
    <r>
      <rPr>
        <b/>
        <sz val="11"/>
        <color rgb="FF000000"/>
        <rFont val="Arial"/>
      </rPr>
      <t>Ethylene-Vinyl Acetate (EVA) Foam</t>
    </r>
    <r>
      <rPr>
        <b/>
        <vertAlign val="superscript"/>
        <sz val="11"/>
        <color rgb="FF000000"/>
        <rFont val="Arial"/>
      </rPr>
      <t>55</t>
    </r>
  </si>
  <si>
    <t>26</t>
  </si>
  <si>
    <t>184</t>
  </si>
  <si>
    <t>Total EVA Foam Use</t>
  </si>
  <si>
    <r>
      <rPr>
        <b/>
        <sz val="11"/>
        <color rgb="FF000000"/>
        <rFont val="Arial"/>
      </rPr>
      <t>Leather</t>
    </r>
    <r>
      <rPr>
        <b/>
        <vertAlign val="superscript"/>
        <sz val="11"/>
        <color rgb="FF000000"/>
        <rFont val="Arial"/>
      </rPr>
      <t>56,57</t>
    </r>
  </si>
  <si>
    <t>Flyleather</t>
  </si>
  <si>
    <t>Synthetic Leather</t>
  </si>
  <si>
    <r>
      <rPr>
        <sz val="11"/>
        <color rgb="FF000000"/>
        <rFont val="Arial"/>
      </rPr>
      <t>Lower Carbon Impact LCA Leather</t>
    </r>
    <r>
      <rPr>
        <sz val="8"/>
        <color rgb="FF000000"/>
        <rFont val="Arial"/>
      </rPr>
      <t>58</t>
    </r>
  </si>
  <si>
    <t>Total Leather Use</t>
  </si>
  <si>
    <t>52 Total material use rows reflect both EPM totals and conventional materials totals. Only EPMs are called out in table. As we have shifted data sources to enable more inclusive scope of measurement in our 2025 targets, our percentage has dropped. We continue to explore ways to help grow our sustainable cotton percentage
in alignment with the expanded measurement scope. Cotton and polyester data includes NIKE Brand footwear, apparel and socks, and Converse footwear and apparel. Rubber, EVA foam and leather data includes NIKE Brand footwear only.</t>
  </si>
  <si>
    <t>53 Total material use reflects EPM and conventional materials. As we have shifted data sources to enable more inclusive scope of measurement in our 2025
targets, our percentage has dropped. We continue to explore ways to help grow our organic, recycled and third-party certified cotton percentage in alignment with the expanded measurement scope. Cotton and polyester data includes NIKE Brand footwear, apparel and socks, and Converse footwear and apparel. Rubber, EVA foam and leather data includes NIKE Brand footwear only.</t>
  </si>
  <si>
    <t>54 Historical % EPM and third-party certified volume data have been updated due to a methodology adjustment that recalibrated annual performance calculations by releasing a quarterly cap on the amount of third-party credits that can be claimed, which is applied for internal quarterly reporting to prevent over claiming credits, and instead applying an annual cap. This cap ensures that the volume of third-party credits claimed within a fiscal year does not exceed the volume of conventional cotton used and acknowledges the lag that exists between producing cotton and procuring credits.</t>
  </si>
  <si>
    <t xml:space="preserve">55 Recycled EVA foam dropped in FY22 due to methodological shifts in underlying data, combined with key suppliers of recycled EVA being offline several months due to COVID-19. Recycled EVA volume rose in FY23 due to NIKE’s recycled EVA sources being brought back online after the COVID shutdowns. Total EVA foam is declining due to reduced footwear demand.
</t>
  </si>
  <si>
    <t>56 All leather is Leather Working Group certified.</t>
  </si>
  <si>
    <t>57 FY22 emissions savings via EPM and % EPM figures have been updated, resulting from revisions to underlying leather and third-party certified cotton data. Leather volume data was revised due to the integration of Lower Carbon Impact Leather, which now appears as a new line item on the Top Five Materials in Product by Volume data table. The reduced carbon impact associated with Lower Carbon Impact Leather materials resulted from enhancements in both data and operational changes such as the reduction of waste, incorporation of renewable energy and increased efficiencies in the material production process, reflected via individual vendor life cycle assessments (LCAs) specific to their operations and manufacturing and effective for FY22. Given there is judgment and estimation underlying LCAs, NIKE will continue to disclose historically reported target figures. Excluding leather, FY22 and FY23 respective emissions savings (metric tons of CO2e) and EPM % reported as 0.183M / 39% and 0.210 / 39%.</t>
  </si>
  <si>
    <t>58 Lower Carbon Impact Leather materials – Leather materials supplied by vendors that has undergone thirdparty peer reviewed lifecycle assessments (LCAs) that indicate that the emissions intensity meets the criteria for leather EPM inclusion.</t>
  </si>
  <si>
    <t>Scope 1 and 2</t>
  </si>
  <si>
    <t>FY23 vs FY15 Baseline</t>
  </si>
  <si>
    <t>Target</t>
  </si>
  <si>
    <t>Scope 3</t>
  </si>
  <si>
    <t>2030 Science-Based Target</t>
  </si>
  <si>
    <r>
      <t>SCOPE 1, 2 &amp; 3 TOTALS (METRIC TONS CO</t>
    </r>
    <r>
      <rPr>
        <b/>
        <vertAlign val="subscript"/>
        <sz val="11"/>
        <color rgb="FFFFFFFF"/>
        <rFont val="Arial"/>
        <family val="2"/>
      </rPr>
      <t>2</t>
    </r>
    <r>
      <rPr>
        <b/>
        <sz val="11"/>
        <color rgb="FFFFFFFF"/>
        <rFont val="Arial"/>
        <family val="2"/>
      </rPr>
      <t>e)</t>
    </r>
  </si>
  <si>
    <t>FY15</t>
  </si>
  <si>
    <t>FY16</t>
  </si>
  <si>
    <t>FY17</t>
  </si>
  <si>
    <t>FY18</t>
  </si>
  <si>
    <t>FY19</t>
  </si>
  <si>
    <t>Scope 1</t>
  </si>
  <si>
    <t>Scope 2</t>
  </si>
  <si>
    <r>
      <rPr>
        <b/>
        <sz val="11"/>
        <color rgb="FFFFFFFF"/>
        <rFont val="Arial"/>
      </rPr>
      <t>FY23 EMISSIONS SUMMARY (METRIC TONS CO</t>
    </r>
    <r>
      <rPr>
        <b/>
        <vertAlign val="subscript"/>
        <sz val="11"/>
        <color rgb="FFFFFFFF"/>
        <rFont val="Arial"/>
      </rPr>
      <t>2</t>
    </r>
    <r>
      <rPr>
        <b/>
        <sz val="11"/>
        <color rgb="FFFFFFFF"/>
        <rFont val="Arial"/>
      </rPr>
      <t>e) SCOPE 1, 2, AND 3</t>
    </r>
    <r>
      <rPr>
        <b/>
        <vertAlign val="superscript"/>
        <sz val="11"/>
        <color rgb="FFFFFFFF"/>
        <rFont val="Arial"/>
      </rPr>
      <t>87</t>
    </r>
  </si>
  <si>
    <t>Emissions</t>
  </si>
  <si>
    <t>Emissions (%)</t>
  </si>
  <si>
    <t>Scope 2 (market-based emissions)</t>
  </si>
  <si>
    <t>87 NIKE converts all energy consumption to kWhe using net calorific value of the direct fuels consumption, including transportation fuels. Emissions data for HFCs, PFCs and SF6 are not reported. NIKE has phased out SF6 and therefore doesn’t have SF6 emissions. Emissions for other GHGs are either not relevant, immaterial, or data is not available.</t>
  </si>
  <si>
    <t>ENERGY AND EMISSIONS BY BUSINESS FUNCTION (SCOPE 1 AND SCOPE 2 (MARKET-BASED))</t>
  </si>
  <si>
    <r>
      <t>Emissions (Metric Tons CO</t>
    </r>
    <r>
      <rPr>
        <b/>
        <vertAlign val="subscript"/>
        <sz val="11"/>
        <color theme="0"/>
        <rFont val="Arial"/>
        <family val="2"/>
      </rPr>
      <t>2</t>
    </r>
    <r>
      <rPr>
        <b/>
        <sz val="11"/>
        <color theme="0"/>
        <rFont val="Arial"/>
        <family val="2"/>
      </rPr>
      <t>e)</t>
    </r>
  </si>
  <si>
    <t>Energy Consumption (MWh)</t>
  </si>
  <si>
    <t>Scope 1
FY20</t>
  </si>
  <si>
    <t>Scope 1
FY21</t>
  </si>
  <si>
    <t>Scope 1
FY22</t>
  </si>
  <si>
    <t>Scope 1
FY23</t>
  </si>
  <si>
    <t>Scope 2
FY20</t>
  </si>
  <si>
    <t>Scope 2
FY21</t>
  </si>
  <si>
    <t>Scope 2
FY22</t>
  </si>
  <si>
    <t>Scope 2
FY23</t>
  </si>
  <si>
    <t>Fuel 
FY20</t>
  </si>
  <si>
    <t>Fuel 
FY21</t>
  </si>
  <si>
    <t>Fuel 
FY22</t>
  </si>
  <si>
    <t>Fuel 
FY23</t>
  </si>
  <si>
    <t>Electricity
FY20</t>
  </si>
  <si>
    <t>Electricity
FY21</t>
  </si>
  <si>
    <t>Electricity
FY22</t>
  </si>
  <si>
    <t>Electricity
FY23</t>
  </si>
  <si>
    <t>Retail</t>
  </si>
  <si>
    <r>
      <rPr>
        <sz val="11"/>
        <color rgb="FF000000"/>
        <rFont val="Arial"/>
      </rPr>
      <t>22,800</t>
    </r>
    <r>
      <rPr>
        <sz val="8"/>
        <color rgb="FF000000"/>
        <rFont val="Arial"/>
      </rPr>
      <t>88</t>
    </r>
  </si>
  <si>
    <r>
      <rPr>
        <sz val="11"/>
        <color rgb="FF000000"/>
        <rFont val="Arial"/>
      </rPr>
      <t>22,363</t>
    </r>
    <r>
      <rPr>
        <sz val="8"/>
        <color rgb="FF000000"/>
        <rFont val="Arial"/>
      </rPr>
      <t>88</t>
    </r>
  </si>
  <si>
    <r>
      <rPr>
        <sz val="11"/>
        <color rgb="FF000000"/>
        <rFont val="Arial"/>
      </rPr>
      <t>23,182</t>
    </r>
    <r>
      <rPr>
        <sz val="8"/>
        <color rgb="FF000000"/>
        <rFont val="Arial"/>
      </rPr>
      <t>88</t>
    </r>
  </si>
  <si>
    <r>
      <rPr>
        <sz val="11"/>
        <color rgb="FF000000"/>
        <rFont val="Arial"/>
      </rPr>
      <t>9,639</t>
    </r>
    <r>
      <rPr>
        <sz val="8"/>
        <color rgb="FF000000"/>
        <rFont val="Arial"/>
      </rPr>
      <t>89</t>
    </r>
  </si>
  <si>
    <t>HQs &amp; Offices</t>
  </si>
  <si>
    <r>
      <rPr>
        <sz val="11"/>
        <color rgb="FF000000"/>
        <rFont val="Arial"/>
      </rPr>
      <t>2,650</t>
    </r>
    <r>
      <rPr>
        <sz val="8"/>
        <color rgb="FF000000"/>
        <rFont val="Arial"/>
      </rPr>
      <t>90</t>
    </r>
  </si>
  <si>
    <t>HQ Fleet Vehicles</t>
  </si>
  <si>
    <t>-</t>
  </si>
  <si>
    <t>Distribution Centers</t>
  </si>
  <si>
    <r>
      <rPr>
        <sz val="11"/>
        <color rgb="FF000000"/>
        <rFont val="Arial"/>
      </rPr>
      <t>17,577</t>
    </r>
    <r>
      <rPr>
        <sz val="8"/>
        <color rgb="FF000000"/>
        <rFont val="Arial"/>
      </rPr>
      <t>91</t>
    </r>
  </si>
  <si>
    <r>
      <rPr>
        <sz val="11"/>
        <color rgb="FF000000"/>
        <rFont val="Arial"/>
      </rPr>
      <t>19,689</t>
    </r>
    <r>
      <rPr>
        <sz val="8"/>
        <color rgb="FF000000"/>
        <rFont val="Arial"/>
      </rPr>
      <t>91</t>
    </r>
  </si>
  <si>
    <r>
      <rPr>
        <sz val="11"/>
        <color rgb="FF000000"/>
        <rFont val="Arial"/>
      </rPr>
      <t>21,347</t>
    </r>
    <r>
      <rPr>
        <sz val="8"/>
        <color rgb="FF000000"/>
        <rFont val="Arial"/>
      </rPr>
      <t>91</t>
    </r>
  </si>
  <si>
    <r>
      <rPr>
        <sz val="11"/>
        <color rgb="FF000000"/>
        <rFont val="Arial"/>
      </rPr>
      <t>7,703</t>
    </r>
    <r>
      <rPr>
        <sz val="8"/>
        <color rgb="FF000000"/>
        <rFont val="Arial"/>
      </rPr>
      <t>92</t>
    </r>
  </si>
  <si>
    <t>Corporate Jets</t>
  </si>
  <si>
    <t>Air Manufacturing Innovation</t>
  </si>
  <si>
    <r>
      <rPr>
        <sz val="11"/>
        <color rgb="FF000000"/>
        <rFont val="Arial"/>
      </rPr>
      <t>64,804</t>
    </r>
    <r>
      <rPr>
        <sz val="8"/>
        <color rgb="FF000000"/>
        <rFont val="Arial"/>
      </rPr>
      <t>93</t>
    </r>
  </si>
  <si>
    <r>
      <rPr>
        <sz val="11"/>
        <color rgb="FF000000"/>
        <rFont val="Arial"/>
      </rPr>
      <t>59,530</t>
    </r>
    <r>
      <rPr>
        <sz val="8"/>
        <color rgb="FF000000"/>
        <rFont val="Arial"/>
      </rPr>
      <t>93</t>
    </r>
  </si>
  <si>
    <r>
      <rPr>
        <sz val="11"/>
        <color rgb="FF000000"/>
        <rFont val="Arial"/>
      </rPr>
      <t>64,636</t>
    </r>
    <r>
      <rPr>
        <sz val="8"/>
        <color rgb="FF000000"/>
        <rFont val="Arial"/>
      </rPr>
      <t>93</t>
    </r>
  </si>
  <si>
    <r>
      <rPr>
        <sz val="11"/>
        <color rgb="FF000000"/>
        <rFont val="Arial"/>
      </rPr>
      <t>22,944</t>
    </r>
    <r>
      <rPr>
        <sz val="8"/>
        <color rgb="FF000000"/>
        <rFont val="Arial"/>
      </rPr>
      <t>94</t>
    </r>
  </si>
  <si>
    <t>88 NIKE has updated our Scope 1 emissions for FY20-22 to reflect a boundary expansion to include emissions from refrigerants used in retail. These changes resulted in FY20-22 retail Scope 1 emissions (Metric tons CO2e) shifting from 18,210 in FY20, 17,761 in FY21, and 18,611 MT CO2e in FY22 to 22,800, 22,363, and 23,182 MT CO2e, respectively.</t>
  </si>
  <si>
    <t>89 NIKE has updated the previously reported Retail: Scope 2 (Indirect) Market-Based Emissions (Metric tons CO2e) metric to account for energy attribute certificates (EACs) that were purchased and retired but not previously applied to electricity consumed during our fiscal year ended May 31, 2022. The inclusion of the EACs resulted in a reduction of our Scope 2 (Indirect) Market-Based Emissions (Metric tons CO2e) from 10,178 MT CO2e to 9,639 MT CO2e.</t>
  </si>
  <si>
    <t>90 NIKE has updated the previously reported Offices: Scope 2 (Indirect) Market-Based Emissions (Metric tons CO2e) metric to account for energy attribute certificates (EACs) that were purchased and retired but not previously applied to electricity consumed during our fiscal year ended May 31, 2022. The inclusion of the EACs resulted in a reduction of our Scope 2 (Indirect) Market-Based Emissions (Metric tons CO2e) from 4,062 MT CO2e to 2,650 MT CO2e.</t>
  </si>
  <si>
    <t>91 NIKE has updated our Scope 1 emissions for FY20-22 to reflect a boundary expansion to include emissions from refrigerants used in distribution centers. These changes resulted in FY20-22 Scope 1 emissions (Metric tons CO2e) shifting from 9,676 in FY20, 11,224 in FY21, and 12,149 MT CO2e in FY22 to 17,577, 19,689, and 21,347 MT CO2e, respectively.</t>
  </si>
  <si>
    <t>92 NIKE has updated the previously reported DCs: Scope 2 (Indirect) Market-Based Emissions (Metric tons CO2e) metric to account for energy attribute certificates (EACs) that were purchased and retired but not previously applied to electricity consumed during our fiscal year ended May 31, 2022. The inclusion of the EACs resulted in a reduction of our Scope 2 (Indirect) Market-Based Emissions (Metric tons CO2e) from 7,708 MT CO2e to 7,703 MT CO2e.</t>
  </si>
  <si>
    <t>93 NIKE has updated our Scope 1 emissions for FY20-22 to reflect a boundary expansion to include emissions from refrigerants used in retail and distribution centers. These changes resulted in FY20-22 Scope 1 emissions (Metric tons CO2e) shifting from 52,312 in FY20, 46,462 in FY21, and 50,868 MT CO2e in FY22 to 64,804, 59,530, and 64,636 MT CO2e, respectively.</t>
  </si>
  <si>
    <t>94 NIKE has updated the previously reported Scope 2 (Indirect) Market-Based Emissions (Metric tons CO2e) metric to account for energy attribute certificates (EACs) that were purchased and retired but not previously applied to electricity consumed during our fiscal year ended May 31, 2022. The inclusion of the EACs resulted in a reduction of our Scope 2 (Indirect) Market-Based Emissions (Metric tons CO2e) from 24,900 MT CO2e to 22,944 MT CO2e.</t>
  </si>
  <si>
    <r>
      <rPr>
        <b/>
        <sz val="11"/>
        <color rgb="FFFFFFFF"/>
        <rFont val="Arial"/>
        <family val="2"/>
      </rPr>
      <t>FUEL CONSUMPTION (MWh) AND SCOPE 1 EMISSIONS (METRIC TONS CO</t>
    </r>
    <r>
      <rPr>
        <b/>
        <vertAlign val="subscript"/>
        <sz val="11"/>
        <color rgb="FFFFFFFF"/>
        <rFont val="Arial"/>
        <family val="2"/>
      </rPr>
      <t>2</t>
    </r>
    <r>
      <rPr>
        <b/>
        <sz val="11"/>
        <color rgb="FFFFFFFF"/>
        <rFont val="Arial"/>
        <family val="2"/>
      </rPr>
      <t>e)</t>
    </r>
  </si>
  <si>
    <t>Fuel Consumed (MWh)</t>
  </si>
  <si>
    <r>
      <t>Emissions (Metric Tons CO</t>
    </r>
    <r>
      <rPr>
        <vertAlign val="subscript"/>
        <sz val="11"/>
        <color theme="1"/>
        <rFont val="Arial"/>
        <family val="2"/>
      </rPr>
      <t>2</t>
    </r>
    <r>
      <rPr>
        <sz val="11"/>
        <color theme="1"/>
        <rFont val="Arial"/>
        <family val="2"/>
      </rPr>
      <t>e)</t>
    </r>
  </si>
  <si>
    <t xml:space="preserve">HQ Fleet Vehicles </t>
  </si>
  <si>
    <r>
      <rPr>
        <sz val="11"/>
        <color rgb="FF000000"/>
        <rFont val="Arial"/>
      </rPr>
      <t>21,347</t>
    </r>
    <r>
      <rPr>
        <sz val="8"/>
        <color rgb="FF000000"/>
        <rFont val="Arial"/>
      </rPr>
      <t>95</t>
    </r>
  </si>
  <si>
    <r>
      <rPr>
        <sz val="11"/>
        <color rgb="FF000000"/>
        <rFont val="Arial"/>
      </rPr>
      <t>23,182</t>
    </r>
    <r>
      <rPr>
        <sz val="8"/>
        <color rgb="FF000000"/>
        <rFont val="Arial"/>
      </rPr>
      <t>96</t>
    </r>
  </si>
  <si>
    <r>
      <rPr>
        <sz val="11"/>
        <color rgb="FF000000"/>
        <rFont val="Arial"/>
      </rPr>
      <t>206,541</t>
    </r>
    <r>
      <rPr>
        <sz val="8"/>
        <color rgb="FF000000"/>
        <rFont val="Arial"/>
      </rPr>
      <t>97</t>
    </r>
  </si>
  <si>
    <r>
      <rPr>
        <sz val="11"/>
        <color rgb="FF000000"/>
        <rFont val="Arial"/>
      </rPr>
      <t>226,783</t>
    </r>
    <r>
      <rPr>
        <sz val="8"/>
        <color rgb="FF000000"/>
        <rFont val="Arial"/>
      </rPr>
      <t>97</t>
    </r>
  </si>
  <si>
    <r>
      <rPr>
        <sz val="11"/>
        <color rgb="FF000000"/>
        <rFont val="Arial"/>
      </rPr>
      <t>64,636</t>
    </r>
    <r>
      <rPr>
        <sz val="8"/>
        <color rgb="FF000000"/>
        <rFont val="Arial"/>
      </rPr>
      <t>98</t>
    </r>
  </si>
  <si>
    <t>95 NIKE has updated our Scope 1 emissions for FY20-22 to reflect a boundary expansion to include emissions from refrigerants used in distribution centers. These changes resulted in FY20-22 Scope 1 emissions (Metric tons CO2e) shifting from 9,676 in FY20, 11,224 in FY21, and 12,149 MT CO2e in FY22 to 17,577, 19,689, and 21,347 MT CO2e, respectively.</t>
  </si>
  <si>
    <t>96 NIKE has updated our Scope 1 emissions for FY20-22 to reflect a boundary expansion to include emissions from refrigerants used in retail. These changes resulted in FY20-22 retail Scope 1 emissions (Metric tons CO2e) shifting from 18,210 in FY20, 17,761 in FY21, and 18,611 MT CO2e in FY22 to 22,800, 22,363, and 23,182 MT CO2e, respectively.</t>
  </si>
  <si>
    <t>97 Totals for NIKE, Inc. level might not reflect manual summation of granular numbers above, due to rounding of granular numbers and only showing of whole numbers rather than decimals. The NIKE, Inc. level number reflects sums of non-rounded data.</t>
  </si>
  <si>
    <t>98 NIKE has updated our Scope 1 emissions for FY20-22 to reflect a boundary expansion to include emissions from refrigerants used in retail and distribution centers. These changes resulted in FY20-22 Scope 1 emissions (Metric tons CO2e) shifting from 52,312 in FY20, 46,462 in FY21, and 50,868 MT CO2e in FY22 to 64,804, 59,530, and 64,636 MT CO2e, respectively.</t>
  </si>
  <si>
    <r>
      <rPr>
        <b/>
        <sz val="11"/>
        <color rgb="FFFFFFFF"/>
        <rFont val="Arial"/>
        <family val="2"/>
      </rPr>
      <t>ELECTRICITY CONSUMPTION (MWh) AND SCOPE 2 EMISSIONS (METRIC TONS CO</t>
    </r>
    <r>
      <rPr>
        <b/>
        <vertAlign val="subscript"/>
        <sz val="11"/>
        <color rgb="FFFFFFFF"/>
        <rFont val="Arial"/>
        <family val="2"/>
      </rPr>
      <t>2</t>
    </r>
    <r>
      <rPr>
        <b/>
        <sz val="11"/>
        <color rgb="FFFFFFFF"/>
        <rFont val="Arial"/>
        <family val="2"/>
      </rPr>
      <t>e)</t>
    </r>
  </si>
  <si>
    <t>Total Electricity (MWh)</t>
  </si>
  <si>
    <t>Grid Electricity (MWh)</t>
  </si>
  <si>
    <t>Onsite Solar (MWh)</t>
  </si>
  <si>
    <r>
      <t>Location-Based (Metric Tons CO</t>
    </r>
    <r>
      <rPr>
        <vertAlign val="subscript"/>
        <sz val="11"/>
        <color rgb="FF000000"/>
        <rFont val="Arial"/>
        <family val="2"/>
      </rPr>
      <t>2</t>
    </r>
    <r>
      <rPr>
        <sz val="11"/>
        <color rgb="FF000000"/>
        <rFont val="Arial"/>
        <family val="2"/>
      </rPr>
      <t>e)</t>
    </r>
  </si>
  <si>
    <r>
      <t>Market-Based (Metric Tons CO</t>
    </r>
    <r>
      <rPr>
        <vertAlign val="subscript"/>
        <sz val="11"/>
        <color rgb="FF000000"/>
        <rFont val="Arial"/>
        <family val="2"/>
      </rPr>
      <t>2</t>
    </r>
    <r>
      <rPr>
        <sz val="11"/>
        <color rgb="FF000000"/>
        <rFont val="Arial"/>
        <family val="2"/>
      </rPr>
      <t>e)</t>
    </r>
  </si>
  <si>
    <t>Onsite Wind (MWh)</t>
  </si>
  <si>
    <t>Direct Line PPA - Wind (MWh)</t>
  </si>
  <si>
    <r>
      <rPr>
        <sz val="11"/>
        <color rgb="FF000000"/>
        <rFont val="Arial"/>
      </rPr>
      <t>7,703</t>
    </r>
    <r>
      <rPr>
        <sz val="8"/>
        <color rgb="FF000000"/>
        <rFont val="Arial"/>
      </rPr>
      <t>99</t>
    </r>
  </si>
  <si>
    <t>HQs and Offices</t>
  </si>
  <si>
    <t>Grid Electricity</t>
  </si>
  <si>
    <t>Onsite Solar</t>
  </si>
  <si>
    <r>
      <t>Location-Based (Metric Tons CO</t>
    </r>
    <r>
      <rPr>
        <vertAlign val="subscript"/>
        <sz val="11"/>
        <rFont val="Arial"/>
        <family val="2"/>
      </rPr>
      <t>2</t>
    </r>
    <r>
      <rPr>
        <sz val="11"/>
        <rFont val="Arial"/>
        <family val="2"/>
      </rPr>
      <t>e)</t>
    </r>
  </si>
  <si>
    <r>
      <t>Market-Based (Metric Tons CO</t>
    </r>
    <r>
      <rPr>
        <vertAlign val="subscript"/>
        <sz val="11"/>
        <rFont val="Arial"/>
        <family val="2"/>
      </rPr>
      <t>2</t>
    </r>
    <r>
      <rPr>
        <sz val="11"/>
        <rFont val="Arial"/>
        <family val="2"/>
      </rPr>
      <t>e)</t>
    </r>
  </si>
  <si>
    <r>
      <rPr>
        <sz val="11"/>
        <color rgb="FF000000"/>
        <rFont val="Arial"/>
      </rPr>
      <t>2,650</t>
    </r>
    <r>
      <rPr>
        <sz val="8"/>
        <color rgb="FF000000"/>
        <rFont val="Arial"/>
      </rPr>
      <t>100</t>
    </r>
  </si>
  <si>
    <r>
      <rPr>
        <sz val="11"/>
        <color rgb="FF000000"/>
        <rFont val="Arial"/>
      </rPr>
      <t>9,639</t>
    </r>
    <r>
      <rPr>
        <sz val="8"/>
        <color rgb="FF000000"/>
        <rFont val="Arial"/>
      </rPr>
      <t>101</t>
    </r>
  </si>
  <si>
    <r>
      <rPr>
        <sz val="11"/>
        <color rgb="FF000000"/>
        <rFont val="Arial"/>
      </rPr>
      <t>22,944</t>
    </r>
    <r>
      <rPr>
        <sz val="8"/>
        <color rgb="FF000000"/>
        <rFont val="Arial"/>
      </rPr>
      <t>99,100,101</t>
    </r>
  </si>
  <si>
    <r>
      <t>11,051</t>
    </r>
    <r>
      <rPr>
        <b/>
        <sz val="8"/>
        <color rgb="FF000000"/>
        <rFont val="Arial"/>
      </rPr>
      <t>102</t>
    </r>
  </si>
  <si>
    <t>99 NIKE has updated the previously reported DCs: Scope 2 (Indirect) Market-Based Emissions (Metric tons CO2e) metric to account for energy attribute certificates (EACs) that were purchased and retired but not previously applied to electricity consumed during our fiscal year ended May 31, 2022. The inclusion of the EACs resulted in a reduction of our Scope 2 (Indirect) Market-Based Emissions (Metric tons CO2e) from 7,708 MT CO2e to 7,703 MT CO2e.</t>
  </si>
  <si>
    <t>100 NIKE has updated the previously reported Offices: Scope 2 (Indirect) Market-Based Emissions (Metric tons CO2e) metric to account for energy attribute certificates (EACs) that were purchased and retired but not previously applied to electricity consumed during our fiscal year ended May 31, 2022. The inclusion of the EACs resulted in a reduction of our Scope 2 (Indirect) Market-Based Emissions (Metric tons CO2e) from 4,062 MT CO2e to 2,650 MT CO2e.</t>
  </si>
  <si>
    <t>101 NIKE has updated the previously reported Retail: Scope 2 (Indirect) Market-Based Emissions (Metric tons CO2e) metric to account for energy attribute certificates (EACs) that were purchased and retired but not previously applied to electricity consumed during our fiscal year ended May 31, 2022. The inclusion of the EACs resulted in a reduction of our Scope 2 (Indirect) Market-Based Emissions (Metric tons CO2e) from 10,178 MT CO2e to 9,639 MT CO2e.</t>
  </si>
  <si>
    <t>102 Totals for NIKE, Inc. level might not reflect manual summation of granular numbers above, due to rounding of granular numbers and only showing of whole numbers rather than decimals. The NIKE, Inc. level number reflects sums of non-rounded data.</t>
  </si>
  <si>
    <r>
      <t>SCOPE 3 EMISSIONS: MANUFACTURING &amp; LOGISTICS (METRIC TONS CO</t>
    </r>
    <r>
      <rPr>
        <b/>
        <vertAlign val="subscript"/>
        <sz val="11"/>
        <color theme="0"/>
        <rFont val="Arial"/>
        <family val="2"/>
      </rPr>
      <t>2</t>
    </r>
    <r>
      <rPr>
        <b/>
        <sz val="11"/>
        <color theme="0"/>
        <rFont val="Arial"/>
        <family val="2"/>
      </rPr>
      <t>e)</t>
    </r>
  </si>
  <si>
    <t xml:space="preserve">FY21 </t>
  </si>
  <si>
    <t>Tier 1 - Footwear Manufacturing</t>
  </si>
  <si>
    <t>Tier 1 - Apparel Manufacturing</t>
  </si>
  <si>
    <t>Tier 2 - Footwear Textile Dyeing and Finishing</t>
  </si>
  <si>
    <t>Tier 2 - Apparel Textile Dyeing and Finishing</t>
  </si>
  <si>
    <t>Logistics - Inbound Transportation</t>
  </si>
  <si>
    <t>Logistics - Outbound Transportation</t>
  </si>
  <si>
    <t>Science Based Target (SBT) Footprint</t>
  </si>
  <si>
    <r>
      <rPr>
        <b/>
        <sz val="11"/>
        <color rgb="FFFFFFFF"/>
        <rFont val="Arial"/>
      </rPr>
      <t>SCIENCE-BASED TARGETS (SBT) FOOTPRINT FY15–FY23 (METRIC TONS CO</t>
    </r>
    <r>
      <rPr>
        <b/>
        <vertAlign val="subscript"/>
        <sz val="11"/>
        <color rgb="FFFFFFFF"/>
        <rFont val="Arial"/>
      </rPr>
      <t>2</t>
    </r>
    <r>
      <rPr>
        <b/>
        <sz val="11"/>
        <color rgb="FFFFFFFF"/>
        <rFont val="Arial"/>
      </rPr>
      <t>e)</t>
    </r>
  </si>
  <si>
    <r>
      <rPr>
        <sz val="11"/>
        <color rgb="FF000000"/>
        <rFont val="Arial"/>
      </rPr>
      <t>21,347</t>
    </r>
    <r>
      <rPr>
        <sz val="8"/>
        <color rgb="FF000000"/>
        <rFont val="Arial"/>
      </rPr>
      <t>103</t>
    </r>
  </si>
  <si>
    <r>
      <rPr>
        <sz val="11"/>
        <color rgb="FF000000"/>
        <rFont val="Arial"/>
      </rPr>
      <t>23,182</t>
    </r>
    <r>
      <rPr>
        <sz val="8"/>
        <color rgb="FF000000"/>
        <rFont val="Arial"/>
      </rPr>
      <t>104</t>
    </r>
  </si>
  <si>
    <r>
      <t>64,636</t>
    </r>
    <r>
      <rPr>
        <b/>
        <sz val="8"/>
        <color rgb="FF000000"/>
        <rFont val="Arial"/>
      </rPr>
      <t>105</t>
    </r>
  </si>
  <si>
    <r>
      <rPr>
        <sz val="11"/>
        <color rgb="FF000000"/>
        <rFont val="Arial"/>
      </rPr>
      <t>7,703</t>
    </r>
    <r>
      <rPr>
        <sz val="8"/>
        <color rgb="FF000000"/>
        <rFont val="Arial"/>
      </rPr>
      <t>106</t>
    </r>
  </si>
  <si>
    <r>
      <rPr>
        <sz val="11"/>
        <color rgb="FF000000"/>
        <rFont val="Arial"/>
      </rPr>
      <t>2,650</t>
    </r>
    <r>
      <rPr>
        <sz val="8"/>
        <color rgb="FF000000"/>
        <rFont val="Arial"/>
      </rPr>
      <t>107</t>
    </r>
  </si>
  <si>
    <t xml:space="preserve">Retail </t>
  </si>
  <si>
    <r>
      <rPr>
        <sz val="11"/>
        <color rgb="FF000000"/>
        <rFont val="Arial"/>
      </rPr>
      <t>9,639</t>
    </r>
    <r>
      <rPr>
        <sz val="8"/>
        <color rgb="FF000000"/>
        <rFont val="Arial"/>
      </rPr>
      <t>108</t>
    </r>
  </si>
  <si>
    <r>
      <rPr>
        <b/>
        <sz val="11"/>
        <color rgb="FF000000"/>
        <rFont val="Arial"/>
      </rPr>
      <t>22,944</t>
    </r>
    <r>
      <rPr>
        <b/>
        <sz val="8"/>
        <color rgb="FF000000"/>
        <rFont val="Arial"/>
      </rPr>
      <t>109</t>
    </r>
  </si>
  <si>
    <r>
      <rPr>
        <b/>
        <sz val="11"/>
        <color rgb="FF000000"/>
        <rFont val="Arial"/>
      </rPr>
      <t>11,051</t>
    </r>
    <r>
      <rPr>
        <b/>
        <sz val="8"/>
        <color rgb="FF000000"/>
        <rFont val="Arial"/>
      </rPr>
      <t>110</t>
    </r>
  </si>
  <si>
    <t>Waste Generated in Operations</t>
  </si>
  <si>
    <t>Downstream Transportation and Distribution</t>
  </si>
  <si>
    <t>Energy-Related Activities Excluded in S1/S2</t>
  </si>
  <si>
    <t>End-of-Life</t>
  </si>
  <si>
    <t>Logistics</t>
  </si>
  <si>
    <t>Packaging</t>
  </si>
  <si>
    <t>Business Travel (Corporate Air Travel)</t>
  </si>
  <si>
    <t>Employee commuting</t>
  </si>
  <si>
    <t>T2–T4 ACC</t>
  </si>
  <si>
    <t>T1 Waste</t>
  </si>
  <si>
    <t>T1 FW</t>
  </si>
  <si>
    <t>T1 ACC</t>
  </si>
  <si>
    <t>T1 AP</t>
  </si>
  <si>
    <t>T2 AP</t>
  </si>
  <si>
    <t>T2 FW</t>
  </si>
  <si>
    <t>T3 AP</t>
  </si>
  <si>
    <t>T3 FW</t>
  </si>
  <si>
    <t xml:space="preserve">T4 AP </t>
  </si>
  <si>
    <t>T4 FW</t>
  </si>
  <si>
    <t>RTFKT – Primary Transactions</t>
  </si>
  <si>
    <t>RTFKT – Secondary Transactions</t>
  </si>
  <si>
    <t>103 NIKE has updated our Scope 1 emissions for FY20-22 to reflect a boundary expansion to include emissions from refrigerants used in distribution centers. These changes resulted in FY20-22 Scope 1 emissions (Metric tons CO2e) shifting from 9,676 in FY20, 11,224 in FY21, and 12,149 MT CO2e in FY22 to 17,577, 19,689, and 21,347 MT CO2e, respectively.</t>
  </si>
  <si>
    <t>104 NIKE has updated our Scope 1 emissions for FY20-22 to reflect a boundary expansion to include emissions from refrigerants used in retail. These changes resulted in FY20-22 retail Scope 1 emissions (Metric tons CO2e) shifting from 18,210 in FY20, 17,761 in FY21, and 18,611 MT CO2e in FY22 to 22,800, 22,363, and 23,182 MT CO2e, respectively.</t>
  </si>
  <si>
    <t>105 NIKE has updated our Scope 1 emissions for FY20-22 to reflect a boundary expansion to include emissions from refrigerants used in retail and distribution centers. These changes resulted in FY20-22 Scope 1 emissions (Metric tons CO2e) shifting from 52,312 in FY20, 46,462 in FY21, and 50,868 MT CO2e in FY22 to 64,804, 59,530, and 64,636 MT CO2e, respectively.</t>
  </si>
  <si>
    <t>106 NIKE has updated the previously reported DCs: Scope 2 (Indirect) Market-Based Emissions (Metric tons CO2e) metric to account for energy attribute certificates (EACs) that were purchased and retired but not previously applied to electricity consumed during our fiscal year ended May 31, 2022. The inclusion of the EACs resulted in a reduction of our Scope 2 (Indirect) Market-Based Emissions (Metric tons CO2e) from 7,708 MT CO2e to 7,703 MT CO2e.</t>
  </si>
  <si>
    <t>107 NIKE has updated the previously reported Offices: Scope 2 (Indirect) Market-Based Emissions (Metric tons CO2e) metric to account for energy attribute certificates (EACs) that were purchased and retired but not previously applied to electricity consumed during our fiscal year ended May 31, 2022. The inclusion of the EACs resulted in a reduction of our Scope 2 (Indirect) Market-Based Emissions (Metric tons CO2e) from 4,062 MT CO2e to 2,650 MT CO2e.</t>
  </si>
  <si>
    <t>108 NIKE has updated the previously reported Retail: Scope 2 (Indirect) Market-Based Emissions (Metric tons CO2e) metric to account for energy attribute certificates (EACs) that were purchased and retired but not previously applied to electricity consumed during our fiscal year ended May 31, 2022. The inclusion of the EACs resulted in a reduction of our Scope 2 (Indirect) Market-Based Emissions (Metric tons CO2e) from 10,178 MT CO2e to 9,639 MT CO2e.</t>
  </si>
  <si>
    <t>109 NIKE has updated the previously reported Scope 2 (Indirect) Market-Based Emissions (Metric tons CO2e) metric to account for energy attribute certificates (EACs) that were purchased and retired but not previously applied to electricity consumed during our fiscal year ended May 31, 2022. The inclusion of the EACs resulted in a reduction of our Scope 2 (Indirect) Market-Based Emissions (Metric tons CO2e) from 24,900 MT CO2e to 22,944 MT CO2e.</t>
  </si>
  <si>
    <t>110 Totals for NIKE, Inc. level might not reflect manual summation of granular numbers above, due to rounding of granular numbers and only showing of whole numbers rather than decimals. The NIKE, Inc. level number reflects sums of non-rounded data.</t>
  </si>
  <si>
    <t>SCOPE 3 EMISSIONS BY CATEGORY AND OPERATIONAL BOUNDARIES</t>
  </si>
  <si>
    <t>In SBT scope</t>
  </si>
  <si>
    <t>Not in SBT scope</t>
  </si>
  <si>
    <t>EMISSIONS SOURCES</t>
  </si>
  <si>
    <r>
      <t>FY23 Metric Tons CO</t>
    </r>
    <r>
      <rPr>
        <b/>
        <vertAlign val="subscript"/>
        <sz val="10"/>
        <color rgb="FF000000"/>
        <rFont val="Arial"/>
        <family val="2"/>
      </rPr>
      <t>2</t>
    </r>
    <r>
      <rPr>
        <b/>
        <sz val="10"/>
        <color rgb="FF000000"/>
        <rFont val="Arial"/>
        <family val="2"/>
      </rPr>
      <t>e and/or Evaluation Status</t>
    </r>
  </si>
  <si>
    <t>Scope of Reported Emissions</t>
  </si>
  <si>
    <t>Emissions Calculation Methodology</t>
  </si>
  <si>
    <t>% of Emissions Calculated Using Data Obtained From Suppliers or Value Chain Partners</t>
  </si>
  <si>
    <t>UPSTREAM</t>
  </si>
  <si>
    <t>1 - Purchased Goods and Services</t>
  </si>
  <si>
    <t>Includes emissions across NIKE brands and product engines, including from raw materials production, materials manufacturing, materials finishing, finished goods manufacturing, packaging materials, and transactions via RTFKT (since acquisition in FY22).
Starting with FY22 data, end of life emissions from packaging have been migrated from Category 1 to Category 12 (End-of-Life Treatment of Sold Products) as more granular data has become available.
Starting with FY22 data, end of life emissions from packaging have been migrated from Category 1 to Category 12 (End-of-Life Treatment of Sold Products) as more granular data has become available.</t>
  </si>
  <si>
    <t>Emissions data is calculated using primary activity data and extrapolations. CO2e emissions include CO2, CH4, and N2O. NIKE Brand and Converse footwear finished goods manufacturing emissions data is derived from 97% primary data; apparel from 63% primary data. For this subset, vendors provide monthly energy consumption: from the local utility grid, onsite generators, other fuels, and purchased steam. For electricity: kWh values are multiplied by CO2e emissions factors for electricity purchased from the local utility grid by the country/region in which the factory resides. For onsite generation and other fuels: CO2e emissions are calculated using the IPCC bottoms up calculation methodology. CO2e methodologies are used for emissions estimates outside of footwear finished goods manufacturing based on lifecycle analysis data applied to product creation data, and employ conservative assumptions to avoid understating NIKE’s footprint. To evaluate NIKE’s value chain footprint, we identified and quantified CO2e emissions created at each stage of the value chain. The impact of each individual product differs considerably, based on its profile, materials used, size and weight, method of manufacture, and location of production, use, and disposal. Several internal and external tools were used to develop this estimation including NIKE’s Materials Sustainability Index, Enablon, and COMPASS (life cycle packaging tool).
As of FY22, we’ve aligned with the latest version of updated Sustainable Apparel Coalition’s Higg MSI (Higg MSI) lifecycle emission factors. See GRI 305-3: Other indirect (Scope 3) GHG emissions section for details.
As of FY22, we’ve aligned with the latest version of updated Sustainable Apparel Coalition’s Higg MSI (Higg MSI) lifecycle emission factors. See GRI 305-3: Other indirect (Scope 3) GHG emissions section for details.</t>
  </si>
  <si>
    <t>2 - Capital Goods</t>
  </si>
  <si>
    <t>N/A</t>
  </si>
  <si>
    <t>NIKE does not have significant investment in capital goods as most manufacturing equipment is owned and operated by contracted factories.</t>
  </si>
  <si>
    <t>3 - Fuel and Energy-Related Activities Not Included in Scope 1 or 2</t>
  </si>
  <si>
    <t>Includes emissions associated with the extraction, production, and transportation of fuels and energy purchased and reported in NIKE’s Scope 1 footprint. Does not include upstream electricity emissions, T&amp;D losses, or other onsite fuels besides natural gas (propane, diesel, biogas, hi-sene).</t>
  </si>
  <si>
    <t>Emissions data is calculated using primary activity data, extrapolated consumption, and publicly available CO2e emissions factors. Consumption is multiplied by the emissions factor, using an identical global factor across all countries and regions.</t>
  </si>
  <si>
    <t>4 - Upstream Transportation and
Distribution</t>
  </si>
  <si>
    <t>Includes ~95% of global inbound transportation and ~95% of global outbound transportation via the following modes of transportation: air, ocean (barge and ship), truck and rail. Excludes most non-NIKE paid freight except for call for routing in North America (or, factory paid air freight, where a wholesale customer pays the carrier and NIKE coordinates the scheduling of the carrier). Also included is the shipment via air freight of NIKE AirBags produced in North America and shipped as components for footwear manufacturing to manufacturing partners, as well as foam pellets manufactured by Nike (in Vietnam) and shipped by road, air or sea to midsole converters; and some intermediate materials used by Airbag manufacturing partners that are made by Nike in North America and shipped by sea.</t>
  </si>
  <si>
    <t>Transactional data is applied to a third-party transportation carbon calculator against industry standard emissions factors (distance travelled x cargo weight or volume x emission factor). Upstream emissions from transport of airbag components, intermediate materials and foam pellets are calculated using data from individual shipments, via a model that applies the GLEC framework and relevant assumptions per shipment type.</t>
  </si>
  <si>
    <t>5 - Waste Generated in Operations</t>
  </si>
  <si>
    <t>Emissions relative to the fate of the waste generated in our own operations including HQs, DCs, and Air MI.</t>
  </si>
  <si>
    <t>Total HQs, DCs, and Air MI waste not diverted from landfill multiplied by a lifecycle assessment-based emission factor for municipal waste sent to landfill.</t>
  </si>
  <si>
    <t>6 - Business Travel</t>
  </si>
  <si>
    <t>Includes emissions from commercial air travel booked through NIKE's third party travel provider.</t>
  </si>
  <si>
    <t>Air CO2e emissions are estimated based on number and distance of trips. Short haul trips are less fuel efficient per mile flown. Longer-haul flights become less efficient due to the need to carry more fuel.</t>
  </si>
  <si>
    <t>7 - Employee Commuting</t>
  </si>
  <si>
    <t>Emissions associated with the transportation of employees between their homes and work locations. Represents regular and temporary employees.</t>
  </si>
  <si>
    <t>Internal employee commuting survey data is used to inform the allocation of methods/modes that NIKE applies to its global employee base. Each mode is assigned an emission factor relative to fuel type. Assumptions are made about the average number of working days per year, average number of commuting days per year (given introduction of the flex work week), and the average distance between an employee’s home and worksite.</t>
  </si>
  <si>
    <t>8 - Upstream Leased Assets</t>
  </si>
  <si>
    <t>Not relevant</t>
  </si>
  <si>
    <t>NIKE does not have significant emissions from upstream leased assets.</t>
  </si>
  <si>
    <t>DOWNSTREAM</t>
  </si>
  <si>
    <t>9 - Downstream Transportation and Distribution</t>
  </si>
  <si>
    <t>Includes emissions from non-NIKE paid freight (except call for routing in North America, which is included in Category 4, Upstream Transportation and Distribution). Excludes emissions from consumers traveling to stores.</t>
  </si>
  <si>
    <t>Transactional data is applied to a third-party transportation carbon calculator against industry standard emissions factors (distance travelled x cargo weight or volume x emission factor). Non-NIKE paid freight is determined calculating the difference between Inbound and Outbound freight and using the outbound freight emissions factor to determine total emissions.</t>
  </si>
  <si>
    <t>10 - Processing of Sold Products</t>
  </si>
  <si>
    <t>NIKE's products are finished consumer goods and do not undergo any additional processing once sold.</t>
  </si>
  <si>
    <t>11 - Use of Sold Products</t>
  </si>
  <si>
    <t>These emissions are associated with washing and drying NIKE’s sold apparel and starting with FY22 data, socks. Footwear and equipment were assumed to not be washed. Emissions from use of sold products are excluded from SBT scope.</t>
  </si>
  <si>
    <t>There is no primary emissions data available from use of NIKE’s products. Consumer energy usage was estimated based on the following assumptions: only apparel units and socks are washed and dried. Each item was assumed to be washed 52 times in one year. The washing assumptions were based on regional consumer washing practices and estimates of washing machine types by region. CO2e was based on regional conversion factors applied to the estimated energy usage.</t>
  </si>
  <si>
    <t xml:space="preserve">12 - End-of-Life Treatment of
Sold Products </t>
  </si>
  <si>
    <t>These emissions are associated with the disposal of products including landfill and incineration.</t>
  </si>
  <si>
    <t xml:space="preserve">There is no primary emissions data available for end-of-life treatment of NIKE’s products. To evaluate NIKE’s value chain footprint, we identified and quantified CO2e emissions created at each stage of the value chain. The impact of each individual product differs considerably, based on its profile, materials used, size and weight, method of manufacture, and location of production, use and disposal. Several internal and external tools were used to develop this estimation including NIKE’s Materials Sustainability Index, EPA’s Waste Reduction Model (WARM), and COMPASS (life cycle packaging tool). Finished goods were assumed to be disposed of at the end of one year.
Based on waste treatment data from the COMPASS software database, end-of-life (EOL) carbon impacts from packaging are calculated using country and material-specific packaging waste treatment data and emissions factors. This includes assumptions from COMPASS on waste treatment pathways for specific geographies and material type pairings as well as emissions factors for each type of treatment (e.g. recycling, landfilling, etc.). Prior to FY22, NIKE included the EOL impacts of Packaging in the “Purchased Goods and Services” category. </t>
  </si>
  <si>
    <t>13 - Downstream Leased Assets</t>
  </si>
  <si>
    <t>NIKE does not have significant emissions from downstream leased assets.</t>
  </si>
  <si>
    <t>14 - Franchises</t>
  </si>
  <si>
    <t>NIKE does not have significant emissions from franchises.</t>
  </si>
  <si>
    <t>15 - Investments</t>
  </si>
  <si>
    <t>NIKE does not have significant emissions from investments.</t>
  </si>
  <si>
    <t>Total SBT S3 Emissions</t>
  </si>
  <si>
    <t>Total Full Footprint S3 Emissions</t>
  </si>
  <si>
    <r>
      <rPr>
        <b/>
        <sz val="11"/>
        <color rgb="FFFFFFFF"/>
        <rFont val="Arial"/>
        <family val="2"/>
      </rPr>
      <t>FY23 FUEL &amp; ELECTRICITY CONSUMPTION (MWh) &amp; SCOPE 1 &amp; 2 EMISSIONS (METRIC TONS CO</t>
    </r>
    <r>
      <rPr>
        <b/>
        <vertAlign val="subscript"/>
        <sz val="11"/>
        <color rgb="FFFFFFFF"/>
        <rFont val="Arial"/>
        <family val="2"/>
      </rPr>
      <t>2</t>
    </r>
    <r>
      <rPr>
        <b/>
        <sz val="11"/>
        <color rgb="FFFFFFFF"/>
        <rFont val="Arial"/>
        <family val="2"/>
      </rPr>
      <t>e) BY COUNTRY</t>
    </r>
  </si>
  <si>
    <t>Country</t>
  </si>
  <si>
    <t>Scope 1 (Metric Tons CO2e)</t>
  </si>
  <si>
    <t>Location-Based Scope 2 (Metric Tons CO2e)</t>
  </si>
  <si>
    <t>Market-Based Scope 2 (Metric Tons CO2e)</t>
  </si>
  <si>
    <t>Argentina</t>
  </si>
  <si>
    <t>Australia</t>
  </si>
  <si>
    <t>Austria</t>
  </si>
  <si>
    <t>Belgium</t>
  </si>
  <si>
    <t>Brazil</t>
  </si>
  <si>
    <t>Canada</t>
  </si>
  <si>
    <t>Chile</t>
  </si>
  <si>
    <t>China</t>
  </si>
  <si>
    <t>Czech Republic</t>
  </si>
  <si>
    <t>Denmark</t>
  </si>
  <si>
    <t>France</t>
  </si>
  <si>
    <t>Germany</t>
  </si>
  <si>
    <t>Greece</t>
  </si>
  <si>
    <t>Hong Kong</t>
  </si>
  <si>
    <t>Hungary</t>
  </si>
  <si>
    <t>India</t>
  </si>
  <si>
    <t>Indonesia</t>
  </si>
  <si>
    <t>Ireland</t>
  </si>
  <si>
    <t>Israel</t>
  </si>
  <si>
    <t>Italy</t>
  </si>
  <si>
    <t>Japan</t>
  </si>
  <si>
    <t>Malaysia</t>
  </si>
  <si>
    <t>Mexico</t>
  </si>
  <si>
    <t>Netherlands</t>
  </si>
  <si>
    <t>New Zealand</t>
  </si>
  <si>
    <t>Norway</t>
  </si>
  <si>
    <t>Panama</t>
  </si>
  <si>
    <t>Philippines</t>
  </si>
  <si>
    <t>Poland</t>
  </si>
  <si>
    <t>Portugal</t>
  </si>
  <si>
    <t>Russia</t>
  </si>
  <si>
    <t>Singapore</t>
  </si>
  <si>
    <t>South Africa</t>
  </si>
  <si>
    <t>South Korea</t>
  </si>
  <si>
    <t>Spain</t>
  </si>
  <si>
    <t>Sweden</t>
  </si>
  <si>
    <t>Switzerland</t>
  </si>
  <si>
    <t>Taiwan</t>
  </si>
  <si>
    <t>Thailand</t>
  </si>
  <si>
    <t>Turkey</t>
  </si>
  <si>
    <t>United Arab Emirates</t>
  </si>
  <si>
    <t>United Kingdom</t>
  </si>
  <si>
    <t>United States of America</t>
  </si>
  <si>
    <t>Uruguay</t>
  </si>
  <si>
    <t>Viet Nam</t>
  </si>
  <si>
    <t>Grand Total</t>
  </si>
  <si>
    <t>FY23 TOTAL ENERGY CONSUMPTION (MWh)</t>
  </si>
  <si>
    <t>Energy Type</t>
  </si>
  <si>
    <t>Heating Value</t>
  </si>
  <si>
    <t>MWh from Renewable Sources</t>
  </si>
  <si>
    <t>MWh from Non-Renewable Sources</t>
  </si>
  <si>
    <t>Total MWh</t>
  </si>
  <si>
    <t>Fuel</t>
  </si>
  <si>
    <t>LHV (lower heating value)</t>
  </si>
  <si>
    <t>Purchased or Acquired Electricity</t>
  </si>
  <si>
    <t>Sustainable Aviation Fuel</t>
  </si>
  <si>
    <t xml:space="preserve">Total </t>
  </si>
  <si>
    <t>FY23 RENEWABLE ENERGY (MWh) BY COUNTRY AND TYPE</t>
  </si>
  <si>
    <t>Renewable Electricity</t>
  </si>
  <si>
    <t>Alternative Fuels</t>
  </si>
  <si>
    <t>Market-Matched</t>
  </si>
  <si>
    <t>Non-Market-Matched</t>
  </si>
  <si>
    <t>Totals</t>
  </si>
  <si>
    <t> </t>
  </si>
  <si>
    <t>Onsite RE</t>
  </si>
  <si>
    <t>Power Purchase Agreements</t>
  </si>
  <si>
    <t>Green Power Purchase</t>
  </si>
  <si>
    <t>Unbundled Energy Attribute Certificates (EACs)</t>
  </si>
  <si>
    <t>Total: Market
-Matched</t>
  </si>
  <si>
    <t>Total:
Non-Market-Matched</t>
  </si>
  <si>
    <t>Owned Onsite Solar</t>
  </si>
  <si>
    <t>Owned Onsite Wind</t>
  </si>
  <si>
    <t>Purchased Onsite Solar</t>
  </si>
  <si>
    <t>Purchased Onsite Wind</t>
  </si>
  <si>
    <t>Direct Line PPA- Wind</t>
  </si>
  <si>
    <t>Offsite PPA (Oregon) - Wind</t>
  </si>
  <si>
    <t>vPPA (US, EU) - Wind</t>
  </si>
  <si>
    <t>Green Power Purchase – Project Specific Solar</t>
  </si>
  <si>
    <t>Green Power Purchase – Project Specific Wind</t>
  </si>
  <si>
    <t>Green Power Purchase - Retail Supply Biomass</t>
  </si>
  <si>
    <t>Green Power Purchase - Retail Supply Solar</t>
  </si>
  <si>
    <t>Green Power Purchase - Retail Supply Small Hydroelectric</t>
  </si>
  <si>
    <t>Green Power Purchase - Retail Supply Mix - Solar, Wind, Hydro, Biomass - DCs</t>
  </si>
  <si>
    <t>EACs: Biomass</t>
  </si>
  <si>
    <t>EACs: Geothermal</t>
  </si>
  <si>
    <t>EACs: Small Hydroelectric</t>
  </si>
  <si>
    <t>EACs: Solar</t>
  </si>
  <si>
    <t>EACs: Wind</t>
  </si>
  <si>
    <t>Biogas</t>
  </si>
  <si>
    <t xml:space="preserve">                      -  </t>
  </si>
  <si>
    <t xml:space="preserve">                   -  </t>
  </si>
  <si>
    <t xml:space="preserve">                                   -  </t>
  </si>
  <si>
    <t xml:space="preserve">                                                    -  </t>
  </si>
  <si>
    <t xml:space="preserve">                                                           -  </t>
  </si>
  <si>
    <r>
      <rPr>
        <b/>
        <sz val="11"/>
        <color rgb="FFFFFFFF"/>
        <rFont val="Arial"/>
      </rPr>
      <t>RENEWABLE ENERGY IN OWNED OR OPERATED &amp; SUPPLY CHAIN (MWh)</t>
    </r>
    <r>
      <rPr>
        <b/>
        <sz val="8"/>
        <color rgb="FFFFFFFF"/>
        <rFont val="Arial"/>
      </rPr>
      <t>112</t>
    </r>
  </si>
  <si>
    <r>
      <rPr>
        <b/>
        <sz val="11"/>
        <color rgb="FF000000"/>
        <rFont val="Arial"/>
      </rPr>
      <t>Manufacturing (Tier 1) and Textile Dyeing and Finishing (Tier 2)</t>
    </r>
    <r>
      <rPr>
        <b/>
        <vertAlign val="superscript"/>
        <sz val="11"/>
        <color rgb="FF000000"/>
        <rFont val="Arial"/>
      </rPr>
      <t>113</t>
    </r>
  </si>
  <si>
    <t>Renewable Direct Fuel Consumption</t>
  </si>
  <si>
    <t>% of Total</t>
  </si>
  <si>
    <t>Renewable Electricity Consumption</t>
  </si>
  <si>
    <t>Renewable Energy Consumption</t>
  </si>
  <si>
    <t>Owned or Operated</t>
  </si>
  <si>
    <r>
      <rPr>
        <sz val="11"/>
        <color rgb="FF000000"/>
        <rFont val="Arial"/>
      </rPr>
      <t>6,220</t>
    </r>
    <r>
      <rPr>
        <sz val="8"/>
        <color rgb="FF000000"/>
        <rFont val="Arial"/>
      </rPr>
      <t>114</t>
    </r>
  </si>
  <si>
    <r>
      <rPr>
        <sz val="11"/>
        <color rgb="FF000000"/>
        <rFont val="Arial"/>
      </rPr>
      <t>3%</t>
    </r>
    <r>
      <rPr>
        <sz val="8"/>
        <color rgb="FF000000"/>
        <rFont val="Arial"/>
      </rPr>
      <t>114</t>
    </r>
  </si>
  <si>
    <r>
      <rPr>
        <sz val="11"/>
        <color rgb="FF000000"/>
        <rFont val="Arial"/>
      </rPr>
      <t>542,540</t>
    </r>
    <r>
      <rPr>
        <sz val="8"/>
        <color rgb="FF000000"/>
        <rFont val="Arial"/>
      </rPr>
      <t>115</t>
    </r>
  </si>
  <si>
    <r>
      <rPr>
        <sz val="11"/>
        <color rgb="FF000000"/>
        <rFont val="Arial"/>
      </rPr>
      <t>559,426</t>
    </r>
    <r>
      <rPr>
        <sz val="8"/>
        <color rgb="FF000000"/>
        <rFont val="Arial"/>
      </rPr>
      <t>114</t>
    </r>
  </si>
  <si>
    <r>
      <rPr>
        <sz val="11"/>
        <color rgb="FF000000"/>
        <rFont val="Arial"/>
      </rPr>
      <t>92%</t>
    </r>
    <r>
      <rPr>
        <sz val="8"/>
        <color rgb="FF000000"/>
        <rFont val="Arial"/>
      </rPr>
      <t>115</t>
    </r>
  </si>
  <si>
    <r>
      <rPr>
        <sz val="11"/>
        <color rgb="FF000000"/>
        <rFont val="Arial"/>
      </rPr>
      <t>96%</t>
    </r>
    <r>
      <rPr>
        <sz val="8"/>
        <color rgb="FF000000"/>
        <rFont val="Arial"/>
      </rPr>
      <t>114</t>
    </r>
  </si>
  <si>
    <r>
      <rPr>
        <sz val="11"/>
        <color rgb="FF000000"/>
        <rFont val="Arial"/>
      </rPr>
      <t>545,249</t>
    </r>
    <r>
      <rPr>
        <sz val="8"/>
        <color rgb="FF000000"/>
        <rFont val="Arial"/>
      </rPr>
      <t>115</t>
    </r>
  </si>
  <si>
    <r>
      <rPr>
        <sz val="11"/>
        <color rgb="FF000000"/>
        <rFont val="Arial"/>
      </rPr>
      <t>565,646</t>
    </r>
    <r>
      <rPr>
        <sz val="8"/>
        <color rgb="FF000000"/>
        <rFont val="Arial"/>
      </rPr>
      <t>114</t>
    </r>
  </si>
  <si>
    <r>
      <rPr>
        <sz val="11"/>
        <color rgb="FF000000"/>
        <rFont val="Arial"/>
      </rPr>
      <t>67%</t>
    </r>
    <r>
      <rPr>
        <sz val="8"/>
        <color rgb="FF000000"/>
        <rFont val="Arial"/>
      </rPr>
      <t>115</t>
    </r>
  </si>
  <si>
    <r>
      <rPr>
        <sz val="11"/>
        <color rgb="FF000000"/>
        <rFont val="Arial"/>
      </rPr>
      <t>73%</t>
    </r>
    <r>
      <rPr>
        <sz val="8"/>
        <color rgb="FF000000"/>
        <rFont val="Arial"/>
      </rPr>
      <t>114</t>
    </r>
  </si>
  <si>
    <t>112 Tier 1 and 2 data includes renewable energy use across footwear and apparel focus suppliers. FY23 renewable energy increased vs. FY22 primarily due to: 1) the Indonesia RECs program in tiers 1 and 2 (launched in the second half of FY22; live for the entirety of FY23), and 2) tier 2 partners transitioning out of coal, increasing their biomass use 6% vs. FY22 as a proportion of biomass use to total fuel use.</t>
  </si>
  <si>
    <t>113 Tier 1 and 2 data includes renewable energy use across footwear only up to FY20, at which point apparel has been added to reporting scope.</t>
  </si>
  <si>
    <t>114 This metric is part of Management’s Assertion on select sustainability metrics, which PwC has performed limited assurance over for the period from June 1, 2022, to May 31, 2023, as indicated in the Report of Independent Accountants.</t>
  </si>
  <si>
    <t>115 NIKE has corrected our renewable energy consumption and thus the related percentage for reporting, shifting FY22 renewable energy
consumption from 550,114 MWh to 545,249 MWh; the related percentage remained at 67%. We believe the facts and circumstances associated with these changes are immaterial both quantitatively and qualitatively; however, we have corrected the amounts reported to reflect the accounting for energy attribute certificates that were (i) purchased and retired but not applied to electricity consumed and (ii) purchased and retired but over applied in relation to electricity consumed during our fiscal year ended May 31, 2022.</t>
  </si>
  <si>
    <t>FUEL CONSUMPTION BY FUEL TYPE (MWh)</t>
  </si>
  <si>
    <t>Natural Gas</t>
  </si>
  <si>
    <t>Jet Fuel</t>
  </si>
  <si>
    <t>Hi-Sene</t>
  </si>
  <si>
    <t>Gasoline</t>
  </si>
  <si>
    <t>Diesel</t>
  </si>
  <si>
    <t>Propane</t>
  </si>
  <si>
    <r>
      <t>SCOPE 1 EMISSIONS BY GAS (METRIC TONS CO</t>
    </r>
    <r>
      <rPr>
        <b/>
        <vertAlign val="subscript"/>
        <sz val="11"/>
        <color theme="0"/>
        <rFont val="Arial"/>
        <family val="2"/>
      </rPr>
      <t>2</t>
    </r>
    <r>
      <rPr>
        <b/>
        <sz val="11"/>
        <color theme="0"/>
        <rFont val="Arial"/>
        <family val="2"/>
      </rPr>
      <t>e)</t>
    </r>
  </si>
  <si>
    <r>
      <t>CH</t>
    </r>
    <r>
      <rPr>
        <vertAlign val="subscript"/>
        <sz val="11"/>
        <color theme="1"/>
        <rFont val="Arial"/>
        <family val="2"/>
      </rPr>
      <t>4</t>
    </r>
  </si>
  <si>
    <r>
      <t>CO</t>
    </r>
    <r>
      <rPr>
        <vertAlign val="subscript"/>
        <sz val="11"/>
        <color theme="1"/>
        <rFont val="Arial"/>
        <family val="2"/>
      </rPr>
      <t>2</t>
    </r>
  </si>
  <si>
    <r>
      <t>N</t>
    </r>
    <r>
      <rPr>
        <vertAlign val="subscript"/>
        <sz val="11"/>
        <color theme="1"/>
        <rFont val="Arial"/>
        <family val="2"/>
      </rPr>
      <t>2</t>
    </r>
    <r>
      <rPr>
        <sz val="11"/>
        <color theme="1"/>
        <rFont val="Arial"/>
        <family val="2"/>
      </rPr>
      <t>O</t>
    </r>
  </si>
  <si>
    <r>
      <t>Refrigerant CO</t>
    </r>
    <r>
      <rPr>
        <vertAlign val="subscript"/>
        <sz val="11"/>
        <color theme="1"/>
        <rFont val="Arial"/>
        <family val="2"/>
      </rPr>
      <t>2</t>
    </r>
    <r>
      <rPr>
        <sz val="11"/>
        <color theme="1"/>
        <rFont val="Arial"/>
        <family val="2"/>
      </rPr>
      <t>e</t>
    </r>
  </si>
  <si>
    <t>STEAM, HEAT, COOLING CONSUMPTION (MWh)</t>
  </si>
  <si>
    <t>Steam</t>
  </si>
  <si>
    <t>Heat</t>
  </si>
  <si>
    <t>Cooling</t>
  </si>
  <si>
    <r>
      <t>BIOGENIC EMISSIONS (METRIC TONS CO</t>
    </r>
    <r>
      <rPr>
        <b/>
        <vertAlign val="subscript"/>
        <sz val="11"/>
        <color theme="0"/>
        <rFont val="Arial"/>
        <family val="2"/>
      </rPr>
      <t>2</t>
    </r>
    <r>
      <rPr>
        <b/>
        <sz val="11"/>
        <color theme="0"/>
        <rFont val="Arial"/>
        <family val="2"/>
      </rPr>
      <t>e)</t>
    </r>
  </si>
  <si>
    <t>Biomass Renewable Energy Credits</t>
  </si>
  <si>
    <t>Biogenic Emissions from SAF</t>
  </si>
  <si>
    <r>
      <t>FY23 ADDITIONAL EMISSIONS REDUCTIONS ACTIVITIES (METRIC TONS CO2e)</t>
    </r>
    <r>
      <rPr>
        <sz val="11"/>
        <color theme="0"/>
        <rFont val="Arial"/>
        <family val="2"/>
      </rPr>
      <t>​</t>
    </r>
  </si>
  <si>
    <t>Gross DC Scope 1 Emissions​</t>
  </si>
  <si>
    <t>Less: Renewable Natural Gas (RNG)​ Purchased</t>
  </si>
  <si>
    <t>DCs Scope 1 Emissions​ with RNG</t>
  </si>
  <si>
    <t>Gross Jets​ Scope 1 Emissions​</t>
  </si>
  <si>
    <t>Less: Sustainable Aviation Fuel (SAF) Purchased</t>
  </si>
  <si>
    <t>Jets Scope 1 Emissions​ with SAF</t>
  </si>
  <si>
    <r>
      <t>Gross Inbound Transportation Scope 3 Emissions</t>
    </r>
    <r>
      <rPr>
        <sz val="11"/>
        <color rgb="FF000000"/>
        <rFont val="Calibri"/>
        <family val="2"/>
      </rPr>
      <t>​</t>
    </r>
  </si>
  <si>
    <t>Less: Biofuel Purchased</t>
  </si>
  <si>
    <r>
      <rPr>
        <b/>
        <sz val="11"/>
        <color rgb="FF000000"/>
        <rFont val="Arial"/>
        <family val="2"/>
      </rPr>
      <t>Inbound Transportation Scope 3 Emissions with Biofuel</t>
    </r>
    <r>
      <rPr>
        <sz val="11"/>
        <color rgb="FF000000"/>
        <rFont val="Calibri"/>
        <family val="2"/>
      </rPr>
      <t>​</t>
    </r>
  </si>
  <si>
    <t xml:space="preserve">116 To achieve consistency with the WRI’s current Greenhouse Gas Protocol Standard, as of FY23, NIKE no longer accounts for emissions reductions from its Renewable Natural Gas (RNG) and Sustainable Aviation Fuel (SAF) purchases within its Scope 1 emissions.
NIKE now reports emissions from these sources as if each was the conventional fuel instead (i.e.,treating RNG as natural gas and treating SAF as jet kerosene). The impact of inclusion in years prior to FY23 is immaterial. Historical Scope 3 emissions did not include emissions reductions from maritime biodiesel (Fatty Acid Methyl Ester (FAME) and Used Cooking Oil Methyl Ester (UCOME) in transportation. Starting with the FY23 NIKE Impact Report, NIKE will begin reporting the emissions reductions associated with RNG, SAF, and FAME/UCOME usage for informational purposes only outside of the Greenhouse Gas Protocol scopes. NIKE remains supportive of developing of low-carbon fuel markets. We continue to make purchases and explore new opportunities, despite the limits of current greenhouse gas accounting treatment.
These include:
- RNG purchased through a common-carrier pipeline, used indirectly at one distribution center in Belgium.
- SAF purchased for corporate jets which is blended and used indirectly.
WRI is leading a revision process for its Corporate Standard. We look forward to aligning our future reporting to resulting revisions to the Greenhouse Gas Protocol. </t>
  </si>
  <si>
    <t>NIKE, Inc. Management Assertion</t>
  </si>
  <si>
    <t>Selected Environmental Sustainability Metrics</t>
  </si>
  <si>
    <t>For the Fiscal Year ended May 31, 2023 (FY23)</t>
  </si>
  <si>
    <r>
      <rPr>
        <sz val="11"/>
        <color rgb="FF000000"/>
        <rFont val="Arial"/>
      </rPr>
      <t>Total Energy</t>
    </r>
    <r>
      <rPr>
        <sz val="8"/>
        <color rgb="FF000000"/>
        <rFont val="Arial"/>
      </rPr>
      <t>119</t>
    </r>
    <r>
      <rPr>
        <sz val="11"/>
        <color rgb="FF000000"/>
        <rFont val="Arial"/>
      </rPr>
      <t xml:space="preserve"> Consumption (MWh)</t>
    </r>
  </si>
  <si>
    <t>Renewable Fuel Consumption (MWh / %)</t>
  </si>
  <si>
    <t>6,220 / 3%</t>
  </si>
  <si>
    <t>Renewable Electricity Consumption (MWh / %)</t>
  </si>
  <si>
    <t>559,426 / 96%</t>
  </si>
  <si>
    <t>Renewable Energy Consumption (MWh / %)</t>
  </si>
  <si>
    <t>565,646 / 73%</t>
  </si>
  <si>
    <r>
      <t>Scope 1 (Direct) Emissions (Metric tons CO</t>
    </r>
    <r>
      <rPr>
        <vertAlign val="subscript"/>
        <sz val="11"/>
        <color theme="1"/>
        <rFont val="Arial"/>
        <family val="2"/>
      </rPr>
      <t>2</t>
    </r>
    <r>
      <rPr>
        <sz val="11"/>
        <color theme="1"/>
        <rFont val="Arial"/>
        <family val="2"/>
      </rPr>
      <t>e)</t>
    </r>
  </si>
  <si>
    <r>
      <t>Scope 2 (Indirect) Location-Based Emissions (Metric tons CO</t>
    </r>
    <r>
      <rPr>
        <vertAlign val="subscript"/>
        <sz val="11"/>
        <color theme="1"/>
        <rFont val="Arial"/>
        <family val="2"/>
      </rPr>
      <t>2</t>
    </r>
    <r>
      <rPr>
        <sz val="11"/>
        <color theme="1"/>
        <rFont val="Arial"/>
        <family val="2"/>
      </rPr>
      <t>e)</t>
    </r>
  </si>
  <si>
    <r>
      <t>Scope 2 (Indirect) Market-Based Emissions (Metric tons CO</t>
    </r>
    <r>
      <rPr>
        <vertAlign val="subscript"/>
        <sz val="11"/>
        <color theme="1"/>
        <rFont val="Arial"/>
        <family val="2"/>
      </rPr>
      <t>2</t>
    </r>
    <r>
      <rPr>
        <sz val="11"/>
        <color theme="1"/>
        <rFont val="Arial"/>
        <family val="2"/>
      </rPr>
      <t>e)</t>
    </r>
  </si>
  <si>
    <r>
      <t>Scope 3 (Category 6) Emissions from Commercial Air Travel (Metric tons CO</t>
    </r>
    <r>
      <rPr>
        <vertAlign val="subscript"/>
        <sz val="11"/>
        <color theme="1"/>
        <rFont val="Arial"/>
        <family val="2"/>
      </rPr>
      <t>2</t>
    </r>
    <r>
      <rPr>
        <sz val="11"/>
        <color theme="1"/>
        <rFont val="Arial"/>
        <family val="2"/>
      </rPr>
      <t>e)</t>
    </r>
  </si>
  <si>
    <t>119 Includes direct fuel use and purchased or acquired electricity consumption.</t>
  </si>
  <si>
    <t>NIKE GRIND FOOTWEAR WASTE VOLUMES RECYCLED (METRIC TONS)</t>
  </si>
  <si>
    <t>Waste Source</t>
  </si>
  <si>
    <t>Disposition Method</t>
  </si>
  <si>
    <t>Post-Industrial (Factory scrap)</t>
  </si>
  <si>
    <t>Recycled into NIKE Products and Other Industry Products</t>
  </si>
  <si>
    <r>
      <rPr>
        <sz val="11"/>
        <color rgb="FF000000"/>
        <rFont val="Arial"/>
      </rPr>
      <t>Post-Consumer + Unsold Goods</t>
    </r>
    <r>
      <rPr>
        <vertAlign val="superscript"/>
        <sz val="11"/>
        <color rgb="FF000000"/>
        <rFont val="Arial"/>
      </rPr>
      <t xml:space="preserve">62 </t>
    </r>
    <r>
      <rPr>
        <sz val="11"/>
        <color rgb="FF000000"/>
        <rFont val="Arial"/>
      </rPr>
      <t>(Consumer Shoes + NIKE Samples and Defectives)</t>
    </r>
  </si>
  <si>
    <t>Recycled into Other Industry Products</t>
  </si>
  <si>
    <r>
      <rPr>
        <b/>
        <sz val="11"/>
        <color rgb="FF000000"/>
        <rFont val="Arial"/>
      </rPr>
      <t>1,108</t>
    </r>
    <r>
      <rPr>
        <b/>
        <vertAlign val="superscript"/>
        <sz val="11"/>
        <color rgb="FF000000"/>
        <rFont val="Arial"/>
      </rPr>
      <t>63</t>
    </r>
  </si>
  <si>
    <t>TOTAL FOOTWEAR MATERIALS RECYCLED</t>
  </si>
  <si>
    <r>
      <rPr>
        <b/>
        <sz val="11"/>
        <color rgb="FF000000"/>
        <rFont val="Arial"/>
      </rPr>
      <t>59,623</t>
    </r>
    <r>
      <rPr>
        <b/>
        <vertAlign val="superscript"/>
        <sz val="11"/>
        <color rgb="FF000000"/>
        <rFont val="Arial"/>
      </rPr>
      <t>64</t>
    </r>
  </si>
  <si>
    <t>62 Unsold Goods refers to NIKE sample products, defective products and returned products that aren’t fit for resale as NIKE products.</t>
  </si>
  <si>
    <t>63 Footwear recycling in post-consumer and unsold goods nearly doubled in FY23 vs. FY22 due to new recycling partnerships established across geographies, resulting in the ability to recycle more footwear materials (and fewer materials and units going to waste to energy).</t>
  </si>
  <si>
    <t>64 In addition to the footwear data detailed in the table above, ~25,000 metric tons of post-industrial apparel was recycled into other industry products (open-loop recycled).</t>
  </si>
  <si>
    <t>WASTE (METRIC TONS)</t>
  </si>
  <si>
    <t>Distribution Centers (DCs)</t>
  </si>
  <si>
    <t>Composted</t>
  </si>
  <si>
    <t xml:space="preserve">Waste to Energy </t>
  </si>
  <si>
    <t>Landfilled</t>
  </si>
  <si>
    <t>HQs</t>
  </si>
  <si>
    <r>
      <rPr>
        <b/>
        <sz val="11"/>
        <color rgb="FF000000"/>
        <rFont val="Arial"/>
      </rPr>
      <t>FW Manufacturing</t>
    </r>
    <r>
      <rPr>
        <b/>
        <vertAlign val="superscript"/>
        <sz val="11"/>
        <color rgb="FF000000"/>
        <rFont val="Arial"/>
      </rPr>
      <t>117</t>
    </r>
  </si>
  <si>
    <t>Landfilled and Incinerated</t>
  </si>
  <si>
    <t>–</t>
  </si>
  <si>
    <r>
      <rPr>
        <b/>
        <sz val="11"/>
        <color rgb="FF000000"/>
        <rFont val="Arial"/>
      </rPr>
      <t>AP Manufacturing</t>
    </r>
    <r>
      <rPr>
        <b/>
        <vertAlign val="superscript"/>
        <sz val="11"/>
        <color rgb="FF000000"/>
        <rFont val="Arial"/>
      </rPr>
      <t>117</t>
    </r>
  </si>
  <si>
    <t>Waste to Energy</t>
  </si>
  <si>
    <t xml:space="preserve">- </t>
  </si>
  <si>
    <r>
      <rPr>
        <b/>
        <sz val="11"/>
        <color rgb="FFFFFFFF"/>
        <rFont val="Arial"/>
      </rPr>
      <t>TOTAL WEIGHT OF HAZARDOUS WASTE (METRIC TONS) GENERATED IN MANUFACTURING</t>
    </r>
    <r>
      <rPr>
        <b/>
        <vertAlign val="superscript"/>
        <sz val="11"/>
        <color rgb="FFFFFFFF"/>
        <rFont val="Arial"/>
      </rPr>
      <t>118</t>
    </r>
  </si>
  <si>
    <t>Total weight</t>
  </si>
  <si>
    <t>117 Strategic Finished Goods Suppliers: Suppliers representing approximately 80% of total footwear and apparel production.</t>
  </si>
  <si>
    <t>118 Annual compliance assessments verify that suppliers are meeting the requirements in the NIKE Code of Conduct and Code Leadership Standards (CLS). Verifiers confirm that partners have obtained all required permits with safety, health and environmental control programs including proper management of hazardous waste and hazardous waste vendors selected by the supplier being properly qualified and licensed. In prior NIKE Impact Reports, hazardous waste figures reflected what was generated in footwear manufacturing only. Starting with the FY23 NIKE Impact Report, hazardous waste is inclusive of both footwear and apparel manufacturing.</t>
  </si>
  <si>
    <t>WATER (MILLION LITERS)</t>
  </si>
  <si>
    <r>
      <rPr>
        <b/>
        <sz val="11"/>
        <color rgb="FF000000"/>
        <rFont val="Arial"/>
        <family val="2"/>
      </rPr>
      <t>Textile Dyeing and Finishing</t>
    </r>
    <r>
      <rPr>
        <b/>
        <vertAlign val="superscript"/>
        <sz val="11"/>
        <color rgb="FF000000"/>
        <rFont val="Arial"/>
        <family val="2"/>
      </rPr>
      <t>67</t>
    </r>
  </si>
  <si>
    <t>Municipal/City Water To Facility</t>
  </si>
  <si>
    <t>Ground Water</t>
  </si>
  <si>
    <t>Surface Water</t>
  </si>
  <si>
    <t>Rainwater Collection</t>
  </si>
  <si>
    <t>Condensate Use</t>
  </si>
  <si>
    <t>TOTAL FRESHWATER USE</t>
  </si>
  <si>
    <t>Water restored (Liters)</t>
  </si>
  <si>
    <t xml:space="preserve">Australia </t>
  </si>
  <si>
    <t>650M</t>
  </si>
  <si>
    <t>2.1B</t>
  </si>
  <si>
    <t>3.7B</t>
  </si>
  <si>
    <t>5.1B</t>
  </si>
  <si>
    <r>
      <t>India</t>
    </r>
    <r>
      <rPr>
        <vertAlign val="superscript"/>
        <sz val="11"/>
        <color theme="1"/>
        <rFont val="Arial"/>
        <family val="2"/>
      </rPr>
      <t>69</t>
    </r>
  </si>
  <si>
    <t>43.2M</t>
  </si>
  <si>
    <t>Pakistan</t>
  </si>
  <si>
    <t>38.3M</t>
  </si>
  <si>
    <r>
      <t>3.8B</t>
    </r>
    <r>
      <rPr>
        <b/>
        <vertAlign val="superscript"/>
        <sz val="11"/>
        <color rgb="FF000000"/>
        <rFont val="Arial"/>
        <family val="2"/>
      </rPr>
      <t>70</t>
    </r>
  </si>
  <si>
    <t>WATER RESTORATION FUNDING</t>
  </si>
  <si>
    <t>Cumulative since 2019 program inception, as of May 31, 2023</t>
  </si>
  <si>
    <t>Water Restoration project funding (Australia, India, Pakistand, Brazil, and United States) in NIKE’s Extended Cotton Supply Chain (USD)</t>
  </si>
  <si>
    <t>67 Suppliers represented in this table are key suppliers involved in dyeing and/or finishing of materials that directly support footwear and apparel finished product assembly</t>
  </si>
  <si>
    <t>69 Total water savings estimates for FY20 and FY21 were revised resulting from irrigation efficiency estimate updates as NIKE’s technical partner in water restoration provided NIKE with an updated assessment of the India project’s water savings due to an error in the initial calculation. This shifted FY21 and FY22 estimated water savings from the India project from 11.7 million liters each year to 43.2 million liters each year.</t>
  </si>
  <si>
    <t>70 Total water savings estimates for FY20 and FY21 were revised resulting from irrigation efficiency estimate updates as NIKE’s technical partner in water restoration provided NIKE with an updated assessment of the India project’s water savings due to an error in the initial calculation. This shifted FY21 and FY22 estimated water savings from 2.06 billion and 3.72 billion liters to 2.1 billion and 3.8 billion liters respectively.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</si>
</sst>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43" formatCode="_(* #,##0.00_);_(* \(#,##0.00\);_(* &quot;-&quot;??_);_(@_)"/>
    <numFmt numFmtId="164" formatCode="0.0%"/>
    <numFmt numFmtId="165" formatCode="0.0"/>
    <numFmt numFmtId="166" formatCode="_(* #,##0.0000_);_(* \(#,##0.0000\);_(* &quot;-&quot;??_);_(@_)"/>
    <numFmt numFmtId="167" formatCode="#,##0.0000000000;\-#,##0.0000000000"/>
    <numFmt numFmtId="168" formatCode="#,##0.00;\-#,##0.00"/>
    <numFmt numFmtId="169" formatCode="0.000%"/>
  </numFmts>
  <fonts count="72">
    <font>
      <sz val="11"/>
      <color theme="1"/>
      <name val="Calibri"/>
      <family val="2"/>
      <scheme val="minor"/>
    </font>
    <font>
      <sz val="11"/>
      <color theme="1"/>
      <name val="Calibri"/>
      <family val="2"/>
      <scheme val="minor"/>
    </font>
    <font>
      <sz val="11"/>
      <color rgb="FF000000"/>
      <name val="Arial"/>
      <family val="2"/>
    </font>
    <font>
      <sz val="11"/>
      <color theme="1"/>
      <name val="Arial"/>
      <family val="2"/>
    </font>
    <font>
      <b/>
      <sz val="11"/>
      <color theme="0"/>
      <name val="Arial"/>
      <family val="2"/>
    </font>
    <font>
      <b/>
      <sz val="11"/>
      <name val="Arial"/>
      <family val="2"/>
    </font>
    <font>
      <b/>
      <sz val="11"/>
      <color rgb="FF000000"/>
      <name val="Arial"/>
      <family val="2"/>
    </font>
    <font>
      <vertAlign val="superscript"/>
      <sz val="11"/>
      <color theme="1"/>
      <name val="Arial"/>
      <family val="2"/>
    </font>
    <font>
      <b/>
      <sz val="11"/>
      <color theme="1"/>
      <name val="Arial"/>
      <family val="2"/>
    </font>
    <font>
      <b/>
      <vertAlign val="superscript"/>
      <sz val="11"/>
      <color rgb="FF000000"/>
      <name val="Arial"/>
      <family val="2"/>
    </font>
    <font>
      <sz val="11"/>
      <color rgb="FFFF0000"/>
      <name val="Arial"/>
      <family val="2"/>
    </font>
    <font>
      <sz val="11"/>
      <name val="Arial"/>
      <family val="2"/>
    </font>
    <font>
      <vertAlign val="superscript"/>
      <sz val="11"/>
      <name val="Arial"/>
      <family val="2"/>
    </font>
    <font>
      <b/>
      <sz val="11"/>
      <color rgb="FFFF0000"/>
      <name val="Arial"/>
      <family val="2"/>
    </font>
    <font>
      <vertAlign val="subscript"/>
      <sz val="11"/>
      <color rgb="FF000000"/>
      <name val="Arial"/>
      <family val="2"/>
    </font>
    <font>
      <vertAlign val="subscript"/>
      <sz val="11"/>
      <color theme="1"/>
      <name val="Arial"/>
      <family val="2"/>
    </font>
    <font>
      <b/>
      <sz val="11"/>
      <color rgb="FFFFFFFF"/>
      <name val="Arial"/>
      <family val="2"/>
    </font>
    <font>
      <b/>
      <vertAlign val="subscript"/>
      <sz val="11"/>
      <color rgb="FFFFFFFF"/>
      <name val="Arial"/>
      <family val="2"/>
    </font>
    <font>
      <b/>
      <vertAlign val="subscript"/>
      <sz val="11"/>
      <color theme="0"/>
      <name val="Arial"/>
      <family val="2"/>
    </font>
    <font>
      <i/>
      <sz val="11"/>
      <color theme="1"/>
      <name val="Arial"/>
      <family val="2"/>
    </font>
    <font>
      <i/>
      <sz val="11"/>
      <name val="Arial"/>
      <family val="2"/>
    </font>
    <font>
      <u/>
      <sz val="11"/>
      <color theme="10"/>
      <name val="Calibri"/>
      <family val="2"/>
      <scheme val="minor"/>
    </font>
    <font>
      <b/>
      <i/>
      <sz val="11"/>
      <color theme="0"/>
      <name val="Arial"/>
      <family val="2"/>
    </font>
    <font>
      <sz val="8"/>
      <name val="Calibri"/>
      <family val="2"/>
      <scheme val="minor"/>
    </font>
    <font>
      <sz val="11"/>
      <color rgb="FF000000"/>
      <name val="Calibri"/>
      <family val="2"/>
    </font>
    <font>
      <vertAlign val="superscript"/>
      <sz val="11"/>
      <color rgb="FF000000"/>
      <name val="Arial"/>
      <family val="2"/>
    </font>
    <font>
      <u/>
      <sz val="11"/>
      <color theme="11"/>
      <name val="Calibri"/>
      <family val="2"/>
      <scheme val="minor"/>
    </font>
    <font>
      <i/>
      <sz val="11"/>
      <color rgb="FF000000"/>
      <name val="Arial"/>
      <family val="2"/>
    </font>
    <font>
      <b/>
      <i/>
      <sz val="11"/>
      <color rgb="FF000000"/>
      <name val="Arial"/>
      <family val="2"/>
    </font>
    <font>
      <vertAlign val="subscript"/>
      <sz val="11"/>
      <name val="Arial"/>
      <family val="2"/>
    </font>
    <font>
      <b/>
      <sz val="10"/>
      <color theme="1"/>
      <name val="Arial"/>
      <family val="2"/>
    </font>
    <font>
      <b/>
      <sz val="11"/>
      <color rgb="FF00B050"/>
      <name val="Arial"/>
      <family val="2"/>
    </font>
    <font>
      <sz val="11"/>
      <color rgb="FF00B050"/>
      <name val="Arial"/>
      <family val="2"/>
    </font>
    <font>
      <b/>
      <vertAlign val="superscript"/>
      <sz val="11"/>
      <color rgb="FFFFFFFF"/>
      <name val="Arial"/>
      <family val="2"/>
    </font>
    <font>
      <b/>
      <sz val="11"/>
      <color rgb="FFFFC000"/>
      <name val="Arial"/>
      <family val="2"/>
    </font>
    <font>
      <sz val="10"/>
      <color rgb="FF00B050"/>
      <name val="Arial"/>
      <family val="2"/>
    </font>
    <font>
      <b/>
      <sz val="10"/>
      <color theme="7"/>
      <name val="Arial"/>
      <family val="2"/>
    </font>
    <font>
      <i/>
      <sz val="11"/>
      <color rgb="FF00B050"/>
      <name val="Arial"/>
      <family val="2"/>
    </font>
    <font>
      <b/>
      <sz val="10"/>
      <color rgb="FFC00000"/>
      <name val="Arial"/>
      <family val="2"/>
    </font>
    <font>
      <sz val="9"/>
      <color rgb="FF000000"/>
      <name val="Arial"/>
      <family val="2"/>
    </font>
    <font>
      <sz val="11"/>
      <color rgb="FF00B050"/>
      <name val="Calibri"/>
      <family val="2"/>
      <scheme val="minor"/>
    </font>
    <font>
      <b/>
      <sz val="11"/>
      <color rgb="FFFF0000"/>
      <name val="Calibri"/>
      <family val="2"/>
    </font>
    <font>
      <sz val="11"/>
      <color rgb="FFFF0000"/>
      <name val="Calibri"/>
      <family val="2"/>
    </font>
    <font>
      <b/>
      <sz val="11"/>
      <color rgb="FF000000"/>
      <name val="Calibri"/>
      <family val="2"/>
    </font>
    <font>
      <b/>
      <sz val="11"/>
      <color theme="1"/>
      <name val="Calibri"/>
      <family val="2"/>
      <scheme val="minor"/>
    </font>
    <font>
      <sz val="11"/>
      <color rgb="FFFF00FF"/>
      <name val="Arial"/>
      <family val="2"/>
    </font>
    <font>
      <sz val="11"/>
      <color theme="0" tint="-0.249977111117893"/>
      <name val="Arial"/>
      <family val="2"/>
    </font>
    <font>
      <b/>
      <sz val="11"/>
      <color theme="0" tint="-0.14999847407452621"/>
      <name val="Arial"/>
      <family val="2"/>
    </font>
    <font>
      <b/>
      <sz val="10"/>
      <color rgb="FF000000"/>
      <name val="Arial"/>
      <family val="2"/>
    </font>
    <font>
      <b/>
      <vertAlign val="subscript"/>
      <sz val="10"/>
      <color rgb="FF000000"/>
      <name val="Arial"/>
      <family val="2"/>
    </font>
    <font>
      <sz val="11"/>
      <color rgb="FF000000"/>
      <name val="Calibri"/>
      <family val="2"/>
      <scheme val="minor"/>
    </font>
    <font>
      <sz val="11"/>
      <color theme="0"/>
      <name val="Arial"/>
      <family val="2"/>
    </font>
    <font>
      <b/>
      <sz val="11"/>
      <color rgb="FF000000"/>
      <name val="Calibri"/>
      <family val="2"/>
      <scheme val="minor"/>
    </font>
    <font>
      <sz val="11"/>
      <color theme="1"/>
      <name val="Calibri"/>
      <family val="2"/>
    </font>
    <font>
      <sz val="11"/>
      <color rgb="FF000000"/>
      <name val="Arial"/>
    </font>
    <font>
      <vertAlign val="superscript"/>
      <sz val="11"/>
      <color rgb="FF000000"/>
      <name val="Arial"/>
    </font>
    <font>
      <b/>
      <sz val="11"/>
      <color rgb="FF000000"/>
      <name val="Arial"/>
    </font>
    <font>
      <b/>
      <vertAlign val="superscript"/>
      <sz val="11"/>
      <color rgb="FF000000"/>
      <name val="Arial"/>
    </font>
    <font>
      <b/>
      <sz val="11"/>
      <color theme="0"/>
      <name val="Arial"/>
    </font>
    <font>
      <b/>
      <sz val="11"/>
      <color rgb="FFFFFFFF"/>
      <name val="Arial"/>
    </font>
    <font>
      <b/>
      <vertAlign val="superscript"/>
      <sz val="11"/>
      <color rgb="FFFFFFFF"/>
      <name val="Arial"/>
    </font>
    <font>
      <sz val="8"/>
      <color rgb="FF000000"/>
      <name val="Arial"/>
    </font>
    <font>
      <b/>
      <sz val="8"/>
      <color rgb="FF000000"/>
      <name val="Arial"/>
    </font>
    <font>
      <b/>
      <i/>
      <sz val="11"/>
      <color rgb="FF000000"/>
      <name val="Arial"/>
    </font>
    <font>
      <b/>
      <i/>
      <sz val="8"/>
      <color rgb="FF000000"/>
      <name val="Arial"/>
    </font>
    <font>
      <b/>
      <vertAlign val="superscript"/>
      <sz val="10"/>
      <color rgb="FFFFFFFF"/>
      <name val="Arial"/>
    </font>
    <font>
      <b/>
      <vertAlign val="subscript"/>
      <sz val="11"/>
      <color rgb="FFFFFFFF"/>
      <name val="Arial"/>
    </font>
    <font>
      <b/>
      <sz val="8"/>
      <color rgb="FFFFFFFF"/>
      <name val="Arial"/>
    </font>
    <font>
      <sz val="11"/>
      <color theme="1"/>
      <name val="Arial"/>
    </font>
    <font>
      <b/>
      <sz val="11"/>
      <color theme="1"/>
      <name val="Arial"/>
    </font>
    <font>
      <b/>
      <vertAlign val="superscript"/>
      <sz val="11"/>
      <color theme="1"/>
      <name val="Arial"/>
    </font>
    <font>
      <vertAlign val="superscript"/>
      <sz val="11"/>
      <color theme="1"/>
      <name val="Arial"/>
    </font>
  </fonts>
  <fills count="17">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theme="2" tint="-0.49998474074526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1" tint="0.34998626667073579"/>
        <bgColor indexed="64"/>
      </patternFill>
    </fill>
    <fill>
      <patternFill patternType="solid">
        <fgColor rgb="FFD6DCE4"/>
        <bgColor indexed="64"/>
      </patternFill>
    </fill>
    <fill>
      <patternFill patternType="solid">
        <fgColor theme="3" tint="0.59999389629810485"/>
        <bgColor indexed="64"/>
      </patternFill>
    </fill>
    <fill>
      <patternFill patternType="solid">
        <fgColor theme="2"/>
        <bgColor indexed="64"/>
      </patternFill>
    </fill>
    <fill>
      <patternFill patternType="solid">
        <fgColor theme="2" tint="-9.9978637043366805E-2"/>
        <bgColor indexed="64"/>
      </patternFill>
    </fill>
    <fill>
      <patternFill patternType="solid">
        <fgColor theme="0"/>
        <bgColor indexed="64"/>
      </patternFill>
    </fill>
    <fill>
      <patternFill patternType="solid">
        <fgColor theme="0" tint="-0.34998626667073579"/>
        <bgColor indexed="64"/>
      </patternFill>
    </fill>
    <fill>
      <patternFill patternType="solid">
        <fgColor rgb="FF595959"/>
        <bgColor rgb="FF000000"/>
      </patternFill>
    </fill>
    <fill>
      <patternFill patternType="solid">
        <fgColor rgb="FFFFFFFF"/>
        <bgColor indexed="64"/>
      </patternFill>
    </fill>
    <fill>
      <patternFill patternType="solid">
        <fgColor theme="1" tint="0.499984740745262"/>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top style="thin">
        <color auto="1"/>
      </top>
      <bottom/>
      <diagonal/>
    </border>
    <border>
      <left/>
      <right/>
      <top style="thin">
        <color auto="1"/>
      </top>
      <bottom/>
      <diagonal/>
    </border>
    <border>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auto="1"/>
      </left>
      <right style="thin">
        <color rgb="FF000000"/>
      </right>
      <top style="thin">
        <color auto="1"/>
      </top>
      <bottom style="thin">
        <color auto="1"/>
      </bottom>
      <diagonal/>
    </border>
    <border>
      <left/>
      <right style="thin">
        <color rgb="FF000000"/>
      </right>
      <top style="thin">
        <color auto="1"/>
      </top>
      <bottom/>
      <diagonal/>
    </border>
    <border>
      <left style="thin">
        <color rgb="FF000000"/>
      </left>
      <right style="thin">
        <color rgb="FF000000"/>
      </right>
      <top style="thin">
        <color auto="1"/>
      </top>
      <bottom style="thin">
        <color auto="1"/>
      </bottom>
      <diagonal/>
    </border>
    <border>
      <left style="thin">
        <color rgb="FF000000"/>
      </left>
      <right/>
      <top style="thin">
        <color auto="1"/>
      </top>
      <bottom style="thin">
        <color auto="1"/>
      </bottom>
      <diagonal/>
    </border>
    <border>
      <left style="thin">
        <color rgb="FF000000"/>
      </left>
      <right/>
      <top style="thin">
        <color auto="1"/>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auto="1"/>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auto="1"/>
      </bottom>
      <diagonal/>
    </border>
    <border>
      <left/>
      <right/>
      <top/>
      <bottom style="thin">
        <color rgb="FF000000"/>
      </bottom>
      <diagonal/>
    </border>
    <border>
      <left style="thin">
        <color rgb="FF000000"/>
      </left>
      <right/>
      <top/>
      <bottom style="thin">
        <color rgb="FF000000"/>
      </bottom>
      <diagonal/>
    </border>
    <border>
      <left style="thin">
        <color rgb="FFB2B2B2"/>
      </left>
      <right style="thin">
        <color rgb="FFB2B2B2"/>
      </right>
      <top style="thin">
        <color rgb="FFB2B2B2"/>
      </top>
      <bottom style="thin">
        <color rgb="FFB2B2B2"/>
      </bottom>
      <diagonal/>
    </border>
    <border>
      <left/>
      <right style="thin">
        <color rgb="FF000000"/>
      </right>
      <top style="thin">
        <color indexed="64"/>
      </top>
      <bottom style="thin">
        <color indexed="64"/>
      </bottom>
      <diagonal/>
    </border>
    <border>
      <left style="thin">
        <color auto="1"/>
      </left>
      <right/>
      <top/>
      <bottom style="thin">
        <color rgb="FF000000"/>
      </bottom>
      <diagonal/>
    </border>
  </borders>
  <cellStyleXfs count="29">
    <xf numFmtId="0" fontId="0" fillId="0" borderId="0"/>
    <xf numFmtId="43" fontId="1" fillId="0" borderId="0" applyFon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9" fontId="1" fillId="0" borderId="0" applyFont="0" applyFill="0" applyBorder="0" applyAlignment="0" applyProtection="0"/>
  </cellStyleXfs>
  <cellXfs count="814">
    <xf numFmtId="0" fontId="0" fillId="0" borderId="0" xfId="0"/>
    <xf numFmtId="0" fontId="3" fillId="0" borderId="0" xfId="0" applyFont="1"/>
    <xf numFmtId="0" fontId="4" fillId="2" borderId="0" xfId="0" applyFont="1" applyFill="1" applyAlignment="1">
      <alignment horizontal="left"/>
    </xf>
    <xf numFmtId="0" fontId="4" fillId="0" borderId="0" xfId="0" applyFont="1" applyAlignment="1">
      <alignment horizontal="left"/>
    </xf>
    <xf numFmtId="0" fontId="4" fillId="0" borderId="0" xfId="0" applyFont="1" applyAlignment="1">
      <alignment horizontal="center"/>
    </xf>
    <xf numFmtId="0" fontId="3" fillId="0" borderId="0" xfId="0" applyFont="1" applyAlignment="1">
      <alignment horizontal="center"/>
    </xf>
    <xf numFmtId="0" fontId="3" fillId="0" borderId="0" xfId="0" applyFont="1" applyAlignment="1">
      <alignment vertical="center"/>
    </xf>
    <xf numFmtId="0" fontId="11" fillId="0" borderId="0" xfId="0" applyFont="1"/>
    <xf numFmtId="0" fontId="11" fillId="0" borderId="1" xfId="0" applyFont="1" applyBorder="1" applyAlignment="1">
      <alignment vertical="center"/>
    </xf>
    <xf numFmtId="0" fontId="3" fillId="0" borderId="0" xfId="0" applyFont="1" applyAlignment="1">
      <alignment wrapText="1"/>
    </xf>
    <xf numFmtId="0" fontId="3" fillId="0" borderId="0" xfId="0" applyFont="1" applyAlignment="1">
      <alignment vertical="center" wrapText="1"/>
    </xf>
    <xf numFmtId="0" fontId="2" fillId="0" borderId="0" xfId="0" applyFont="1" applyAlignment="1">
      <alignment horizontal="center" vertical="center" wrapText="1"/>
    </xf>
    <xf numFmtId="164" fontId="2" fillId="0" borderId="1" xfId="0" applyNumberFormat="1" applyFont="1" applyBorder="1" applyAlignment="1">
      <alignment horizontal="center" vertical="center"/>
    </xf>
    <xf numFmtId="0" fontId="3" fillId="0" borderId="1" xfId="0" applyFont="1" applyBorder="1" applyAlignment="1">
      <alignment vertical="center"/>
    </xf>
    <xf numFmtId="9" fontId="2" fillId="0" borderId="1" xfId="0" applyNumberFormat="1" applyFont="1" applyBorder="1" applyAlignment="1">
      <alignment horizontal="center" vertical="center"/>
    </xf>
    <xf numFmtId="0" fontId="8" fillId="5" borderId="1" xfId="0" applyFont="1" applyFill="1" applyBorder="1"/>
    <xf numFmtId="0" fontId="8" fillId="0" borderId="1" xfId="0" applyFont="1" applyBorder="1" applyAlignment="1">
      <alignment vertical="center"/>
    </xf>
    <xf numFmtId="0" fontId="6" fillId="5" borderId="1" xfId="0" applyFont="1" applyFill="1" applyBorder="1" applyAlignment="1">
      <alignment vertical="center"/>
    </xf>
    <xf numFmtId="0" fontId="6" fillId="5" borderId="1" xfId="0" applyFont="1" applyFill="1" applyBorder="1" applyAlignment="1">
      <alignment horizontal="center" vertical="center"/>
    </xf>
    <xf numFmtId="0" fontId="3" fillId="0" borderId="1" xfId="0" applyFont="1" applyBorder="1"/>
    <xf numFmtId="0" fontId="8" fillId="0" borderId="1" xfId="0" applyFont="1" applyBorder="1"/>
    <xf numFmtId="0" fontId="8" fillId="0" borderId="0" xfId="0" applyFont="1"/>
    <xf numFmtId="0" fontId="6" fillId="5" borderId="1" xfId="0" applyFont="1" applyFill="1" applyBorder="1" applyAlignment="1">
      <alignment horizontal="right" vertical="center"/>
    </xf>
    <xf numFmtId="3" fontId="2" fillId="0" borderId="1" xfId="0" applyNumberFormat="1" applyFont="1" applyBorder="1" applyAlignment="1">
      <alignment horizontal="center" vertical="center"/>
    </xf>
    <xf numFmtId="0" fontId="3" fillId="0" borderId="0" xfId="0" applyFont="1" applyAlignment="1">
      <alignment horizontal="center" vertical="center"/>
    </xf>
    <xf numFmtId="0" fontId="4" fillId="0" borderId="0" xfId="0" applyFont="1"/>
    <xf numFmtId="0" fontId="6" fillId="5" borderId="1" xfId="0" applyFont="1" applyFill="1" applyBorder="1" applyAlignment="1">
      <alignment horizontal="center"/>
    </xf>
    <xf numFmtId="3" fontId="2" fillId="0" borderId="1" xfId="0" applyNumberFormat="1" applyFont="1" applyBorder="1" applyAlignment="1">
      <alignment vertical="center"/>
    </xf>
    <xf numFmtId="3" fontId="3" fillId="0" borderId="0" xfId="0" applyNumberFormat="1" applyFont="1" applyAlignment="1">
      <alignment horizontal="center"/>
    </xf>
    <xf numFmtId="0" fontId="8" fillId="5" borderId="1" xfId="0" applyFont="1" applyFill="1" applyBorder="1" applyAlignment="1">
      <alignment vertical="center" wrapText="1"/>
    </xf>
    <xf numFmtId="0" fontId="8" fillId="8" borderId="1" xfId="0" applyFont="1" applyFill="1" applyBorder="1" applyAlignment="1">
      <alignment vertical="center" wrapText="1"/>
    </xf>
    <xf numFmtId="0" fontId="8" fillId="9" borderId="1" xfId="0" applyFont="1" applyFill="1" applyBorder="1" applyAlignment="1">
      <alignment vertical="center" wrapText="1"/>
    </xf>
    <xf numFmtId="0" fontId="8" fillId="8" borderId="1" xfId="0" applyFont="1" applyFill="1" applyBorder="1" applyAlignment="1">
      <alignment vertical="center"/>
    </xf>
    <xf numFmtId="3" fontId="8" fillId="8" borderId="1" xfId="0" applyNumberFormat="1" applyFont="1" applyFill="1" applyBorder="1" applyAlignment="1">
      <alignment horizontal="left" vertical="center" wrapText="1"/>
    </xf>
    <xf numFmtId="3" fontId="8" fillId="9" borderId="1" xfId="0" applyNumberFormat="1" applyFont="1" applyFill="1" applyBorder="1" applyAlignment="1">
      <alignment horizontal="left" vertical="center" wrapText="1"/>
    </xf>
    <xf numFmtId="0" fontId="2" fillId="0" borderId="1" xfId="0" applyFont="1" applyBorder="1" applyAlignment="1">
      <alignment horizontal="left" vertical="center"/>
    </xf>
    <xf numFmtId="0" fontId="6" fillId="0" borderId="1" xfId="0" applyFont="1" applyBorder="1" applyAlignment="1">
      <alignment vertical="center"/>
    </xf>
    <xf numFmtId="0" fontId="6" fillId="5" borderId="3" xfId="0" applyFont="1" applyFill="1" applyBorder="1" applyAlignment="1">
      <alignment horizontal="center" vertical="center" wrapText="1"/>
    </xf>
    <xf numFmtId="0" fontId="2" fillId="0" borderId="1" xfId="0" applyFont="1" applyBorder="1" applyAlignment="1">
      <alignment horizontal="center" vertical="center" wrapText="1"/>
    </xf>
    <xf numFmtId="0" fontId="6" fillId="5" borderId="1" xfId="0" applyFont="1" applyFill="1" applyBorder="1" applyAlignment="1">
      <alignment horizontal="center" vertical="center" wrapText="1"/>
    </xf>
    <xf numFmtId="0" fontId="2" fillId="0" borderId="1" xfId="0" applyFont="1" applyBorder="1" applyAlignment="1">
      <alignment vertical="center" wrapText="1"/>
    </xf>
    <xf numFmtId="0" fontId="8" fillId="3" borderId="1" xfId="0" applyFont="1" applyFill="1" applyBorder="1"/>
    <xf numFmtId="0" fontId="2" fillId="0" borderId="0" xfId="0" applyFont="1" applyAlignment="1">
      <alignment vertical="center" wrapText="1"/>
    </xf>
    <xf numFmtId="0" fontId="22" fillId="3" borderId="3" xfId="0" applyFont="1" applyFill="1" applyBorder="1" applyAlignment="1">
      <alignment horizontal="center" vertical="center" wrapText="1"/>
    </xf>
    <xf numFmtId="0" fontId="6" fillId="0" borderId="0" xfId="0" applyFont="1" applyAlignment="1">
      <alignment horizontal="center" vertical="center" wrapText="1"/>
    </xf>
    <xf numFmtId="0" fontId="2" fillId="5" borderId="4"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0" borderId="0" xfId="0" applyFont="1" applyAlignment="1">
      <alignment horizontal="left" vertical="center" wrapText="1"/>
    </xf>
    <xf numFmtId="0" fontId="2" fillId="0" borderId="3" xfId="0" applyFont="1" applyBorder="1" applyAlignment="1">
      <alignment horizontal="left" vertical="center" wrapText="1"/>
    </xf>
    <xf numFmtId="0" fontId="3" fillId="0" borderId="3" xfId="0" applyFont="1" applyBorder="1"/>
    <xf numFmtId="0" fontId="2" fillId="0" borderId="3" xfId="0" applyFont="1" applyBorder="1" applyAlignment="1">
      <alignment vertical="center" wrapText="1"/>
    </xf>
    <xf numFmtId="9" fontId="6" fillId="0" borderId="4" xfId="0" applyNumberFormat="1" applyFont="1" applyBorder="1" applyAlignment="1">
      <alignment horizontal="center" vertical="center" wrapText="1"/>
    </xf>
    <xf numFmtId="0" fontId="2" fillId="0" borderId="0" xfId="0" applyFont="1" applyAlignment="1">
      <alignment vertical="center"/>
    </xf>
    <xf numFmtId="3" fontId="6" fillId="0" borderId="1" xfId="0" applyNumberFormat="1" applyFont="1" applyBorder="1" applyAlignment="1">
      <alignment horizontal="center" vertical="center" wrapText="1"/>
    </xf>
    <xf numFmtId="3" fontId="2" fillId="0" borderId="1" xfId="0" applyNumberFormat="1" applyFont="1" applyBorder="1" applyAlignment="1">
      <alignment horizontal="center" vertical="center" wrapText="1"/>
    </xf>
    <xf numFmtId="9" fontId="2" fillId="0" borderId="1" xfId="0" applyNumberFormat="1" applyFont="1" applyBorder="1" applyAlignment="1">
      <alignment horizontal="center" vertical="center" wrapText="1"/>
    </xf>
    <xf numFmtId="3" fontId="11" fillId="0" borderId="1" xfId="0" applyNumberFormat="1" applyFont="1" applyBorder="1" applyAlignment="1">
      <alignment horizontal="center" vertical="center" wrapText="1"/>
    </xf>
    <xf numFmtId="3" fontId="6" fillId="0" borderId="0" xfId="0" applyNumberFormat="1" applyFont="1" applyAlignment="1">
      <alignment horizontal="center" vertical="center"/>
    </xf>
    <xf numFmtId="0" fontId="2" fillId="5" borderId="1" xfId="0" applyFont="1" applyFill="1" applyBorder="1" applyAlignment="1">
      <alignment vertical="center"/>
    </xf>
    <xf numFmtId="0" fontId="8" fillId="5" borderId="1" xfId="0" applyFont="1" applyFill="1" applyBorder="1" applyAlignment="1">
      <alignment horizontal="left" wrapText="1"/>
    </xf>
    <xf numFmtId="3" fontId="3" fillId="0" borderId="0" xfId="0" applyNumberFormat="1" applyFont="1" applyAlignment="1">
      <alignment vertical="center"/>
    </xf>
    <xf numFmtId="3" fontId="3" fillId="0" borderId="0" xfId="0" applyNumberFormat="1" applyFont="1" applyAlignment="1">
      <alignment horizontal="center" vertical="center" wrapText="1"/>
    </xf>
    <xf numFmtId="3" fontId="6" fillId="0" borderId="4" xfId="0" applyNumberFormat="1" applyFont="1" applyBorder="1" applyAlignment="1">
      <alignment horizontal="center" vertical="center" wrapText="1"/>
    </xf>
    <xf numFmtId="164" fontId="2" fillId="0" borderId="4" xfId="0" applyNumberFormat="1" applyFont="1" applyBorder="1" applyAlignment="1">
      <alignment horizontal="center" vertical="center" wrapText="1"/>
    </xf>
    <xf numFmtId="164" fontId="6" fillId="0" borderId="4" xfId="0" applyNumberFormat="1" applyFont="1" applyBorder="1" applyAlignment="1">
      <alignment horizontal="center" vertical="center" wrapText="1"/>
    </xf>
    <xf numFmtId="0" fontId="0" fillId="0" borderId="0" xfId="0" applyAlignment="1">
      <alignment wrapText="1"/>
    </xf>
    <xf numFmtId="0" fontId="6" fillId="3" borderId="3" xfId="0" applyFont="1" applyFill="1" applyBorder="1" applyAlignment="1">
      <alignment vertical="center"/>
    </xf>
    <xf numFmtId="0" fontId="6" fillId="3" borderId="4" xfId="0" applyFont="1" applyFill="1" applyBorder="1" applyAlignment="1">
      <alignment vertical="center"/>
    </xf>
    <xf numFmtId="3" fontId="2" fillId="0" borderId="0" xfId="0" applyNumberFormat="1" applyFont="1" applyAlignment="1">
      <alignment horizontal="center" vertical="center"/>
    </xf>
    <xf numFmtId="0" fontId="11" fillId="0" borderId="1" xfId="0" applyFont="1" applyBorder="1" applyAlignment="1">
      <alignment horizontal="left" vertical="top"/>
    </xf>
    <xf numFmtId="0" fontId="2" fillId="0" borderId="1" xfId="0" applyFont="1" applyBorder="1" applyAlignment="1">
      <alignment horizontal="left" vertical="top" wrapText="1"/>
    </xf>
    <xf numFmtId="3" fontId="2" fillId="0" borderId="0" xfId="0" applyNumberFormat="1" applyFont="1" applyAlignment="1">
      <alignment horizontal="center" vertical="center" wrapText="1"/>
    </xf>
    <xf numFmtId="9" fontId="2" fillId="0" borderId="0" xfId="0" applyNumberFormat="1" applyFont="1" applyAlignment="1">
      <alignment horizontal="center" vertical="center" wrapText="1"/>
    </xf>
    <xf numFmtId="3" fontId="6" fillId="0" borderId="0" xfId="0" applyNumberFormat="1" applyFont="1" applyAlignment="1">
      <alignment horizontal="center" vertical="center" wrapText="1"/>
    </xf>
    <xf numFmtId="164" fontId="6" fillId="0" borderId="0" xfId="0" applyNumberFormat="1" applyFont="1" applyAlignment="1">
      <alignment horizontal="center" vertical="center" wrapText="1"/>
    </xf>
    <xf numFmtId="0" fontId="6" fillId="0" borderId="1" xfId="0" applyFont="1" applyBorder="1" applyAlignment="1">
      <alignment horizontal="left" vertical="center" wrapText="1"/>
    </xf>
    <xf numFmtId="0" fontId="6" fillId="0" borderId="3" xfId="0" applyFont="1" applyBorder="1" applyAlignment="1">
      <alignment horizontal="left" vertical="center" wrapText="1"/>
    </xf>
    <xf numFmtId="0" fontId="8" fillId="0" borderId="3" xfId="0" applyFont="1" applyBorder="1"/>
    <xf numFmtId="0" fontId="8" fillId="0" borderId="0" xfId="0" applyFont="1" applyAlignment="1">
      <alignment horizontal="center"/>
    </xf>
    <xf numFmtId="2" fontId="11" fillId="0" borderId="1" xfId="0" applyNumberFormat="1" applyFont="1" applyBorder="1" applyAlignment="1">
      <alignment horizontal="center" vertical="center" wrapText="1"/>
    </xf>
    <xf numFmtId="0" fontId="3" fillId="0" borderId="1" xfId="0" applyFont="1" applyBorder="1" applyAlignment="1">
      <alignment wrapText="1"/>
    </xf>
    <xf numFmtId="3" fontId="3" fillId="0" borderId="1" xfId="0" applyNumberFormat="1" applyFont="1" applyBorder="1" applyAlignment="1">
      <alignment horizontal="center"/>
    </xf>
    <xf numFmtId="0" fontId="8" fillId="0" borderId="1" xfId="0" applyFont="1" applyBorder="1" applyAlignment="1">
      <alignment horizontal="center"/>
    </xf>
    <xf numFmtId="0" fontId="4" fillId="0" borderId="0" xfId="0" applyFont="1" applyAlignment="1">
      <alignment vertical="center" wrapText="1"/>
    </xf>
    <xf numFmtId="0" fontId="6" fillId="0" borderId="0" xfId="0" applyFont="1" applyAlignment="1">
      <alignment horizontal="left" vertical="center" wrapText="1"/>
    </xf>
    <xf numFmtId="9" fontId="6" fillId="0" borderId="0" xfId="0" applyNumberFormat="1" applyFont="1" applyAlignment="1">
      <alignment horizontal="center" vertical="center" wrapText="1"/>
    </xf>
    <xf numFmtId="0" fontId="8" fillId="0" borderId="0" xfId="0" applyFont="1" applyAlignment="1">
      <alignment horizontal="center" vertical="center"/>
    </xf>
    <xf numFmtId="0" fontId="8" fillId="0" borderId="0" xfId="0" applyFont="1" applyAlignment="1">
      <alignment vertical="center" wrapText="1"/>
    </xf>
    <xf numFmtId="1" fontId="3" fillId="0" borderId="0" xfId="0" applyNumberFormat="1" applyFont="1" applyAlignment="1">
      <alignment horizontal="center" vertical="center"/>
    </xf>
    <xf numFmtId="1" fontId="11" fillId="0" borderId="0" xfId="0" applyNumberFormat="1" applyFont="1" applyAlignment="1">
      <alignment horizontal="center" vertical="center"/>
    </xf>
    <xf numFmtId="1" fontId="2" fillId="0" borderId="0" xfId="0" applyNumberFormat="1" applyFont="1" applyAlignment="1">
      <alignment horizontal="center" vertical="center"/>
    </xf>
    <xf numFmtId="1" fontId="11" fillId="0" borderId="0" xfId="0" applyNumberFormat="1" applyFont="1" applyAlignment="1">
      <alignment horizontal="center" vertical="center" wrapText="1"/>
    </xf>
    <xf numFmtId="0" fontId="6" fillId="0" borderId="0" xfId="0" applyFont="1" applyAlignment="1">
      <alignment vertical="center"/>
    </xf>
    <xf numFmtId="0" fontId="8" fillId="0" borderId="0" xfId="0" applyFont="1" applyAlignment="1">
      <alignment vertical="center"/>
    </xf>
    <xf numFmtId="0" fontId="5" fillId="5" borderId="1" xfId="0" applyFont="1" applyFill="1" applyBorder="1" applyAlignment="1">
      <alignment horizontal="left" vertical="center" wrapText="1"/>
    </xf>
    <xf numFmtId="0" fontId="4" fillId="2" borderId="0" xfId="0" applyFont="1" applyFill="1"/>
    <xf numFmtId="0" fontId="6" fillId="5" borderId="1" xfId="0" applyFont="1" applyFill="1" applyBorder="1" applyAlignment="1">
      <alignment vertical="center" wrapText="1"/>
    </xf>
    <xf numFmtId="164" fontId="2" fillId="0" borderId="0" xfId="0" applyNumberFormat="1" applyFont="1" applyAlignment="1">
      <alignment horizontal="center" vertical="center"/>
    </xf>
    <xf numFmtId="164" fontId="6" fillId="0" borderId="0" xfId="0" applyNumberFormat="1" applyFont="1" applyAlignment="1">
      <alignment horizontal="center" vertical="center"/>
    </xf>
    <xf numFmtId="0" fontId="4" fillId="0" borderId="0" xfId="0" applyFont="1" applyAlignment="1">
      <alignment horizontal="center" vertical="center" wrapText="1"/>
    </xf>
    <xf numFmtId="0" fontId="28" fillId="0" borderId="0" xfId="0" applyFont="1" applyAlignment="1">
      <alignment horizontal="center" vertical="center" wrapText="1"/>
    </xf>
    <xf numFmtId="0" fontId="5" fillId="0" borderId="4" xfId="0" applyFont="1" applyBorder="1"/>
    <xf numFmtId="0" fontId="5" fillId="0" borderId="3" xfId="0" applyFont="1" applyBorder="1" applyAlignment="1">
      <alignment vertical="center"/>
    </xf>
    <xf numFmtId="0" fontId="5" fillId="0" borderId="4" xfId="0" applyFont="1" applyBorder="1" applyAlignment="1">
      <alignment vertical="center"/>
    </xf>
    <xf numFmtId="49" fontId="11" fillId="0" borderId="1" xfId="0" applyNumberFormat="1" applyFont="1" applyBorder="1" applyAlignment="1">
      <alignment horizontal="center" vertical="center" wrapText="1"/>
    </xf>
    <xf numFmtId="0" fontId="20" fillId="3" borderId="5" xfId="0" applyFont="1" applyFill="1" applyBorder="1" applyAlignment="1">
      <alignment horizontal="center" vertical="center" wrapText="1"/>
    </xf>
    <xf numFmtId="0" fontId="6" fillId="5" borderId="3" xfId="0" applyFont="1" applyFill="1" applyBorder="1" applyAlignment="1">
      <alignment vertical="center" wrapText="1"/>
    </xf>
    <xf numFmtId="0" fontId="19" fillId="0" borderId="0" xfId="0" applyFont="1" applyAlignment="1">
      <alignment vertical="center"/>
    </xf>
    <xf numFmtId="0" fontId="6" fillId="0" borderId="0" xfId="0" applyFont="1" applyAlignment="1">
      <alignment vertical="center" wrapText="1"/>
    </xf>
    <xf numFmtId="10" fontId="2" fillId="0" borderId="0" xfId="0" applyNumberFormat="1" applyFont="1" applyAlignment="1">
      <alignment horizontal="center" vertical="center" wrapText="1"/>
    </xf>
    <xf numFmtId="10" fontId="6" fillId="0" borderId="0" xfId="0" applyNumberFormat="1" applyFont="1" applyAlignment="1">
      <alignment horizontal="center" vertical="center" wrapText="1"/>
    </xf>
    <xf numFmtId="0" fontId="2" fillId="0" borderId="0" xfId="0" quotePrefix="1" applyFont="1" applyAlignment="1">
      <alignment horizontal="center" vertical="center" wrapText="1"/>
    </xf>
    <xf numFmtId="0" fontId="6" fillId="0" borderId="14" xfId="0" applyFont="1" applyBorder="1" applyAlignment="1">
      <alignment horizontal="center" vertical="center" wrapText="1"/>
    </xf>
    <xf numFmtId="0" fontId="20" fillId="0" borderId="0" xfId="0" applyFont="1" applyAlignment="1">
      <alignment vertical="center" wrapText="1"/>
    </xf>
    <xf numFmtId="3" fontId="6" fillId="0" borderId="5" xfId="0" applyNumberFormat="1" applyFont="1" applyBorder="1" applyAlignment="1">
      <alignment horizontal="center" vertical="center" wrapText="1"/>
    </xf>
    <xf numFmtId="0" fontId="3" fillId="0" borderId="5" xfId="0" applyFont="1" applyBorder="1" applyAlignment="1">
      <alignment horizontal="center"/>
    </xf>
    <xf numFmtId="9" fontId="2" fillId="0" borderId="5" xfId="0" applyNumberFormat="1" applyFont="1" applyBorder="1" applyAlignment="1">
      <alignment horizontal="center" vertical="center" wrapText="1"/>
    </xf>
    <xf numFmtId="0" fontId="11" fillId="0" borderId="0" xfId="0" applyFont="1" applyAlignment="1">
      <alignment horizontal="left" vertical="center" wrapText="1"/>
    </xf>
    <xf numFmtId="0" fontId="11" fillId="0" borderId="0" xfId="0" applyFont="1" applyAlignment="1">
      <alignment vertical="center"/>
    </xf>
    <xf numFmtId="2" fontId="11" fillId="0" borderId="0" xfId="0" applyNumberFormat="1" applyFont="1" applyAlignment="1">
      <alignment horizontal="center" vertical="center" wrapText="1"/>
    </xf>
    <xf numFmtId="2" fontId="5" fillId="0" borderId="0" xfId="0" applyNumberFormat="1" applyFont="1" applyAlignment="1">
      <alignment horizontal="center" vertical="center" wrapText="1"/>
    </xf>
    <xf numFmtId="0" fontId="2" fillId="5" borderId="1" xfId="0" applyFont="1" applyFill="1" applyBorder="1" applyAlignment="1">
      <alignment horizontal="center" vertical="center" wrapText="1"/>
    </xf>
    <xf numFmtId="0" fontId="8" fillId="3" borderId="3" xfId="0" applyFont="1" applyFill="1" applyBorder="1" applyAlignment="1">
      <alignment horizontal="center" vertical="center"/>
    </xf>
    <xf numFmtId="3" fontId="13" fillId="0" borderId="0" xfId="0" applyNumberFormat="1" applyFont="1" applyAlignment="1">
      <alignment horizontal="center" vertical="center" wrapText="1"/>
    </xf>
    <xf numFmtId="0" fontId="13" fillId="0" borderId="0" xfId="0" applyFont="1" applyAlignment="1">
      <alignment vertical="center"/>
    </xf>
    <xf numFmtId="3" fontId="13" fillId="0" borderId="0" xfId="0" applyNumberFormat="1" applyFont="1" applyAlignment="1">
      <alignment horizontal="center" vertical="center"/>
    </xf>
    <xf numFmtId="0" fontId="8" fillId="3" borderId="1" xfId="0" applyFont="1" applyFill="1" applyBorder="1" applyAlignment="1">
      <alignment horizontal="center" vertical="center"/>
    </xf>
    <xf numFmtId="164" fontId="3" fillId="0" borderId="0" xfId="0" applyNumberFormat="1" applyFont="1" applyAlignment="1">
      <alignment horizontal="center"/>
    </xf>
    <xf numFmtId="0" fontId="5" fillId="3" borderId="3" xfId="0" applyFont="1" applyFill="1" applyBorder="1" applyAlignment="1">
      <alignment vertical="center"/>
    </xf>
    <xf numFmtId="3" fontId="2" fillId="0" borderId="3" xfId="0" applyNumberFormat="1" applyFont="1" applyBorder="1" applyAlignment="1">
      <alignment vertical="center"/>
    </xf>
    <xf numFmtId="0" fontId="5" fillId="3" borderId="4" xfId="0" applyFont="1" applyFill="1" applyBorder="1" applyAlignment="1">
      <alignment vertical="center"/>
    </xf>
    <xf numFmtId="3" fontId="11" fillId="0" borderId="1" xfId="0" applyNumberFormat="1" applyFont="1" applyBorder="1" applyAlignment="1">
      <alignment vertical="center"/>
    </xf>
    <xf numFmtId="3" fontId="11" fillId="0" borderId="1" xfId="0" quotePrefix="1" applyNumberFormat="1" applyFont="1" applyBorder="1" applyAlignment="1">
      <alignment horizontal="center" vertical="center"/>
    </xf>
    <xf numFmtId="0" fontId="5" fillId="3" borderId="1" xfId="0" applyFont="1" applyFill="1" applyBorder="1"/>
    <xf numFmtId="0" fontId="5" fillId="0" borderId="1" xfId="0" applyFont="1" applyBorder="1"/>
    <xf numFmtId="0" fontId="5" fillId="3" borderId="1" xfId="0" applyFont="1" applyFill="1" applyBorder="1" applyAlignment="1">
      <alignment horizontal="center" vertical="center" wrapText="1"/>
    </xf>
    <xf numFmtId="0" fontId="4" fillId="0" borderId="0" xfId="0" applyFont="1" applyAlignment="1">
      <alignment vertical="center"/>
    </xf>
    <xf numFmtId="0" fontId="5" fillId="0" borderId="0" xfId="0" applyFont="1"/>
    <xf numFmtId="9" fontId="11" fillId="0" borderId="1" xfId="0" applyNumberFormat="1" applyFont="1" applyBorder="1" applyAlignment="1">
      <alignment horizontal="center" vertical="center"/>
    </xf>
    <xf numFmtId="0" fontId="2" fillId="5" borderId="3" xfId="0" applyFont="1" applyFill="1" applyBorder="1" applyAlignment="1">
      <alignment horizontal="center" vertical="center" wrapText="1"/>
    </xf>
    <xf numFmtId="0" fontId="6" fillId="5" borderId="8" xfId="0" applyFont="1" applyFill="1" applyBorder="1" applyAlignment="1">
      <alignment vertical="center" wrapText="1"/>
    </xf>
    <xf numFmtId="0" fontId="27" fillId="0" borderId="0" xfId="0" applyFont="1" applyAlignment="1">
      <alignment vertical="center" wrapText="1"/>
    </xf>
    <xf numFmtId="0" fontId="2" fillId="0" borderId="3" xfId="0" applyFont="1" applyBorder="1" applyAlignment="1">
      <alignment horizontal="center" vertical="center" wrapText="1"/>
    </xf>
    <xf numFmtId="0" fontId="2" fillId="0" borderId="0" xfId="0" applyFont="1" applyAlignment="1">
      <alignment horizontal="center" vertical="center"/>
    </xf>
    <xf numFmtId="9" fontId="8" fillId="0" borderId="0" xfId="0" applyNumberFormat="1" applyFont="1" applyAlignment="1">
      <alignment horizontal="center" vertical="center"/>
    </xf>
    <xf numFmtId="0" fontId="6" fillId="11" borderId="9" xfId="0" applyFont="1" applyFill="1" applyBorder="1" applyAlignment="1">
      <alignment vertical="center"/>
    </xf>
    <xf numFmtId="0" fontId="8" fillId="11" borderId="9" xfId="0" applyFont="1" applyFill="1" applyBorder="1" applyAlignment="1">
      <alignment vertical="center"/>
    </xf>
    <xf numFmtId="164" fontId="2" fillId="0" borderId="1" xfId="0" applyNumberFormat="1" applyFont="1" applyBorder="1" applyAlignment="1">
      <alignment horizontal="center" vertical="center" wrapText="1"/>
    </xf>
    <xf numFmtId="0" fontId="6" fillId="0" borderId="6" xfId="0" applyFont="1" applyBorder="1" applyAlignment="1">
      <alignment horizontal="left" vertical="center"/>
    </xf>
    <xf numFmtId="0" fontId="27" fillId="11" borderId="3" xfId="0" applyFont="1" applyFill="1" applyBorder="1" applyAlignment="1">
      <alignment vertical="center"/>
    </xf>
    <xf numFmtId="0" fontId="6" fillId="11" borderId="4" xfId="0" applyFont="1" applyFill="1" applyBorder="1" applyAlignment="1">
      <alignment vertical="center"/>
    </xf>
    <xf numFmtId="0" fontId="27" fillId="11" borderId="4" xfId="0" applyFont="1" applyFill="1" applyBorder="1" applyAlignment="1">
      <alignment vertical="center"/>
    </xf>
    <xf numFmtId="0" fontId="27" fillId="11" borderId="5" xfId="0" applyFont="1" applyFill="1" applyBorder="1" applyAlignment="1">
      <alignment vertical="center"/>
    </xf>
    <xf numFmtId="0" fontId="3" fillId="0" borderId="0" xfId="0" applyFont="1" applyAlignment="1">
      <alignment horizontal="left" vertical="top"/>
    </xf>
    <xf numFmtId="0" fontId="16" fillId="0" borderId="0" xfId="0" applyFont="1" applyAlignment="1">
      <alignment vertical="center"/>
    </xf>
    <xf numFmtId="0" fontId="30" fillId="0" borderId="0" xfId="0" applyFont="1" applyAlignment="1">
      <alignment vertical="center" wrapText="1"/>
    </xf>
    <xf numFmtId="0" fontId="8" fillId="10" borderId="3" xfId="0" applyFont="1" applyFill="1" applyBorder="1" applyAlignment="1">
      <alignment vertical="center"/>
    </xf>
    <xf numFmtId="3" fontId="5" fillId="0" borderId="1" xfId="0" applyNumberFormat="1" applyFont="1" applyBorder="1" applyAlignment="1">
      <alignment horizontal="center" vertical="center" wrapText="1"/>
    </xf>
    <xf numFmtId="3" fontId="5" fillId="0" borderId="0" xfId="0" applyNumberFormat="1" applyFont="1" applyAlignment="1">
      <alignment horizontal="center" vertical="center" wrapText="1"/>
    </xf>
    <xf numFmtId="0" fontId="6" fillId="3" borderId="8" xfId="0" applyFont="1" applyFill="1" applyBorder="1" applyAlignment="1">
      <alignment vertical="center"/>
    </xf>
    <xf numFmtId="0" fontId="6" fillId="3" borderId="9" xfId="0" applyFont="1" applyFill="1" applyBorder="1" applyAlignment="1">
      <alignment vertical="center"/>
    </xf>
    <xf numFmtId="0" fontId="8" fillId="3" borderId="3" xfId="0" applyFont="1" applyFill="1" applyBorder="1" applyAlignment="1">
      <alignment vertical="center"/>
    </xf>
    <xf numFmtId="0" fontId="6" fillId="3" borderId="11" xfId="0" applyFont="1" applyFill="1" applyBorder="1" applyAlignment="1">
      <alignment vertical="center"/>
    </xf>
    <xf numFmtId="0" fontId="28" fillId="11" borderId="4" xfId="0" applyFont="1" applyFill="1" applyBorder="1" applyAlignment="1">
      <alignment vertical="center"/>
    </xf>
    <xf numFmtId="3" fontId="5" fillId="0" borderId="1" xfId="0" applyNumberFormat="1" applyFont="1" applyBorder="1" applyAlignment="1">
      <alignment horizontal="center" vertical="center"/>
    </xf>
    <xf numFmtId="0" fontId="5" fillId="0" borderId="0" xfId="0" applyFont="1" applyAlignment="1">
      <alignment horizontal="center" vertical="center"/>
    </xf>
    <xf numFmtId="3" fontId="5" fillId="0" borderId="0" xfId="0" applyNumberFormat="1" applyFont="1" applyAlignment="1">
      <alignment horizontal="center" vertical="center"/>
    </xf>
    <xf numFmtId="0" fontId="12" fillId="0" borderId="0" xfId="0" applyFont="1" applyAlignment="1">
      <alignment horizontal="left" vertical="top"/>
    </xf>
    <xf numFmtId="0" fontId="6" fillId="5" borderId="8" xfId="0" applyFont="1" applyFill="1" applyBorder="1" applyAlignment="1">
      <alignment horizontal="left" vertical="center" wrapText="1"/>
    </xf>
    <xf numFmtId="0" fontId="3" fillId="11" borderId="1" xfId="0" applyFont="1" applyFill="1" applyBorder="1" applyAlignment="1">
      <alignment wrapText="1"/>
    </xf>
    <xf numFmtId="0" fontId="3" fillId="11" borderId="1" xfId="0" applyFont="1" applyFill="1" applyBorder="1" applyAlignment="1">
      <alignment horizontal="center"/>
    </xf>
    <xf numFmtId="0" fontId="4" fillId="4" borderId="1" xfId="0" applyFont="1" applyFill="1" applyBorder="1" applyAlignment="1">
      <alignment wrapText="1"/>
    </xf>
    <xf numFmtId="0" fontId="3" fillId="11" borderId="3" xfId="0" applyFont="1" applyFill="1" applyBorder="1" applyAlignment="1">
      <alignment horizontal="center"/>
    </xf>
    <xf numFmtId="49" fontId="2" fillId="0" borderId="1" xfId="0" applyNumberFormat="1" applyFont="1" applyBorder="1" applyAlignment="1">
      <alignment horizontal="center" vertical="center" wrapText="1"/>
    </xf>
    <xf numFmtId="3" fontId="6" fillId="12" borderId="1" xfId="0" applyNumberFormat="1" applyFont="1" applyFill="1" applyBorder="1" applyAlignment="1">
      <alignment horizontal="center" vertical="center" wrapText="1"/>
    </xf>
    <xf numFmtId="0" fontId="27" fillId="5" borderId="4" xfId="0" applyFont="1" applyFill="1" applyBorder="1" applyAlignment="1">
      <alignment horizontal="center" vertical="center" wrapText="1"/>
    </xf>
    <xf numFmtId="0" fontId="27" fillId="5" borderId="5" xfId="0" applyFont="1" applyFill="1" applyBorder="1" applyAlignment="1">
      <alignment horizontal="center" vertical="center" wrapText="1"/>
    </xf>
    <xf numFmtId="9" fontId="3" fillId="0" borderId="4" xfId="0" applyNumberFormat="1" applyFont="1" applyBorder="1" applyAlignment="1">
      <alignment horizontal="center" vertical="center"/>
    </xf>
    <xf numFmtId="0" fontId="8" fillId="0" borderId="4" xfId="0" applyFont="1" applyBorder="1" applyAlignment="1">
      <alignment horizontal="center" vertical="center"/>
    </xf>
    <xf numFmtId="9" fontId="8" fillId="0" borderId="4" xfId="0" applyNumberFormat="1" applyFont="1" applyBorder="1" applyAlignment="1">
      <alignment horizontal="center" vertical="center"/>
    </xf>
    <xf numFmtId="0" fontId="3" fillId="0" borderId="4" xfId="0" applyFont="1" applyBorder="1" applyAlignment="1">
      <alignment horizontal="center" vertical="center"/>
    </xf>
    <xf numFmtId="3" fontId="8" fillId="0" borderId="4" xfId="0" applyNumberFormat="1" applyFont="1" applyBorder="1" applyAlignment="1">
      <alignment horizontal="center" vertical="center"/>
    </xf>
    <xf numFmtId="0" fontId="8" fillId="0" borderId="3" xfId="0" applyFont="1" applyBorder="1" applyAlignment="1">
      <alignment horizontal="center" vertical="center"/>
    </xf>
    <xf numFmtId="0" fontId="4" fillId="4" borderId="1" xfId="0" applyFont="1" applyFill="1" applyBorder="1" applyAlignment="1">
      <alignment horizontal="center" vertical="center" wrapText="1"/>
    </xf>
    <xf numFmtId="3" fontId="2" fillId="12" borderId="1" xfId="0" applyNumberFormat="1" applyFont="1" applyFill="1" applyBorder="1" applyAlignment="1">
      <alignment horizontal="center" vertical="center"/>
    </xf>
    <xf numFmtId="0" fontId="11" fillId="3" borderId="5" xfId="0" applyFont="1" applyFill="1" applyBorder="1" applyAlignment="1">
      <alignment horizontal="center" vertical="center" wrapText="1"/>
    </xf>
    <xf numFmtId="0" fontId="20" fillId="3" borderId="4" xfId="0" applyFont="1" applyFill="1" applyBorder="1" applyAlignment="1">
      <alignment horizontal="center" vertical="center" wrapText="1"/>
    </xf>
    <xf numFmtId="9" fontId="2" fillId="0" borderId="4" xfId="0" quotePrefix="1" applyNumberFormat="1" applyFont="1" applyBorder="1" applyAlignment="1">
      <alignment horizontal="center" vertical="center" wrapText="1"/>
    </xf>
    <xf numFmtId="9" fontId="3" fillId="0" borderId="4" xfId="0" quotePrefix="1" applyNumberFormat="1" applyFont="1" applyBorder="1" applyAlignment="1">
      <alignment horizontal="center" vertical="center"/>
    </xf>
    <xf numFmtId="9" fontId="6" fillId="0" borderId="4" xfId="0" quotePrefix="1" applyNumberFormat="1" applyFont="1" applyBorder="1" applyAlignment="1">
      <alignment horizontal="center" vertical="center" wrapText="1"/>
    </xf>
    <xf numFmtId="9" fontId="8" fillId="0" borderId="4" xfId="0" quotePrefix="1" applyNumberFormat="1" applyFont="1" applyBorder="1" applyAlignment="1">
      <alignment horizontal="center" vertical="center"/>
    </xf>
    <xf numFmtId="2" fontId="8" fillId="0" borderId="0" xfId="0" applyNumberFormat="1" applyFont="1" applyAlignment="1">
      <alignment horizontal="center" vertical="center"/>
    </xf>
    <xf numFmtId="0" fontId="11" fillId="3" borderId="4" xfId="0" applyFont="1" applyFill="1" applyBorder="1" applyAlignment="1">
      <alignment horizontal="center" vertical="center" wrapText="1"/>
    </xf>
    <xf numFmtId="3" fontId="6" fillId="0" borderId="4" xfId="0" quotePrefix="1" applyNumberFormat="1" applyFont="1" applyBorder="1" applyAlignment="1">
      <alignment horizontal="center" vertical="center" wrapText="1"/>
    </xf>
    <xf numFmtId="0" fontId="8" fillId="0" borderId="4" xfId="0" quotePrefix="1" applyFont="1" applyBorder="1" applyAlignment="1">
      <alignment horizontal="center" vertical="center"/>
    </xf>
    <xf numFmtId="3" fontId="8" fillId="0" borderId="4" xfId="0" quotePrefix="1" applyNumberFormat="1" applyFont="1" applyBorder="1" applyAlignment="1">
      <alignment horizontal="center" vertical="center"/>
    </xf>
    <xf numFmtId="3" fontId="6" fillId="0" borderId="7" xfId="0" applyNumberFormat="1" applyFont="1" applyBorder="1" applyAlignment="1">
      <alignment horizontal="center" vertical="center" wrapText="1"/>
    </xf>
    <xf numFmtId="9" fontId="2" fillId="0" borderId="5" xfId="0" quotePrefix="1" applyNumberFormat="1" applyFont="1" applyBorder="1" applyAlignment="1">
      <alignment horizontal="center" vertical="center" wrapText="1"/>
    </xf>
    <xf numFmtId="9" fontId="6" fillId="0" borderId="5" xfId="0" quotePrefix="1" applyNumberFormat="1" applyFont="1" applyBorder="1" applyAlignment="1">
      <alignment horizontal="center" vertical="center" wrapText="1"/>
    </xf>
    <xf numFmtId="0" fontId="8" fillId="0" borderId="3" xfId="0" applyFont="1" applyBorder="1" applyAlignment="1">
      <alignment horizontal="center"/>
    </xf>
    <xf numFmtId="0" fontId="6" fillId="5" borderId="11" xfId="0" applyFont="1" applyFill="1" applyBorder="1" applyAlignment="1">
      <alignment horizontal="center" vertical="center" wrapText="1"/>
    </xf>
    <xf numFmtId="0" fontId="6" fillId="0" borderId="7" xfId="0" applyFont="1" applyBorder="1" applyAlignment="1">
      <alignment horizontal="center" vertical="center" wrapText="1"/>
    </xf>
    <xf numFmtId="0" fontId="6" fillId="0" borderId="5" xfId="0" applyFont="1" applyBorder="1" applyAlignment="1">
      <alignment horizontal="center" vertical="center" wrapText="1"/>
    </xf>
    <xf numFmtId="3" fontId="6" fillId="0" borderId="3" xfId="0" applyNumberFormat="1" applyFont="1" applyBorder="1" applyAlignment="1">
      <alignment horizontal="center" vertical="center" wrapText="1"/>
    </xf>
    <xf numFmtId="9" fontId="6" fillId="0" borderId="12" xfId="0" quotePrefix="1" applyNumberFormat="1" applyFont="1" applyBorder="1" applyAlignment="1">
      <alignment horizontal="center" vertical="center" wrapText="1"/>
    </xf>
    <xf numFmtId="0" fontId="6" fillId="0" borderId="12" xfId="0" applyFont="1" applyBorder="1" applyAlignment="1">
      <alignment horizontal="center" vertical="center" wrapText="1"/>
    </xf>
    <xf numFmtId="2" fontId="11" fillId="12" borderId="1" xfId="0" applyNumberFormat="1" applyFont="1" applyFill="1" applyBorder="1" applyAlignment="1">
      <alignment horizontal="center" vertical="center" wrapText="1"/>
    </xf>
    <xf numFmtId="9" fontId="3" fillId="0" borderId="1" xfId="0" applyNumberFormat="1" applyFont="1" applyBorder="1" applyAlignment="1">
      <alignment horizontal="center" vertical="center"/>
    </xf>
    <xf numFmtId="0" fontId="8" fillId="5" borderId="1" xfId="0" applyFont="1" applyFill="1" applyBorder="1" applyAlignment="1">
      <alignment horizontal="center" vertical="center" wrapText="1"/>
    </xf>
    <xf numFmtId="0" fontId="11" fillId="3" borderId="4" xfId="0" applyFont="1" applyFill="1" applyBorder="1" applyAlignment="1">
      <alignment vertical="center" wrapText="1"/>
    </xf>
    <xf numFmtId="0" fontId="8" fillId="11" borderId="0" xfId="0" applyFont="1" applyFill="1" applyAlignment="1">
      <alignment vertical="center"/>
    </xf>
    <xf numFmtId="0" fontId="6" fillId="11" borderId="0" xfId="0" applyFont="1" applyFill="1" applyAlignment="1">
      <alignment vertical="center"/>
    </xf>
    <xf numFmtId="164" fontId="2" fillId="0" borderId="3" xfId="0" applyNumberFormat="1" applyFont="1" applyBorder="1" applyAlignment="1">
      <alignment horizontal="center" vertical="center" wrapText="1"/>
    </xf>
    <xf numFmtId="10" fontId="2" fillId="0" borderId="1" xfId="0" applyNumberFormat="1" applyFont="1" applyBorder="1" applyAlignment="1">
      <alignment horizontal="center" vertical="center"/>
    </xf>
    <xf numFmtId="9" fontId="2" fillId="0" borderId="1" xfId="0" quotePrefix="1" applyNumberFormat="1" applyFont="1" applyBorder="1" applyAlignment="1">
      <alignment horizontal="center" vertical="center" wrapText="1"/>
    </xf>
    <xf numFmtId="0" fontId="5" fillId="0" borderId="1" xfId="0" applyFont="1" applyBorder="1" applyAlignment="1">
      <alignment wrapText="1"/>
    </xf>
    <xf numFmtId="3" fontId="3" fillId="12" borderId="1" xfId="0" applyNumberFormat="1" applyFont="1" applyFill="1" applyBorder="1" applyAlignment="1">
      <alignment horizontal="center"/>
    </xf>
    <xf numFmtId="3" fontId="2" fillId="12" borderId="2" xfId="0" applyNumberFormat="1" applyFont="1" applyFill="1" applyBorder="1" applyAlignment="1">
      <alignment horizontal="center" vertical="center"/>
    </xf>
    <xf numFmtId="3" fontId="2" fillId="12" borderId="6" xfId="0" applyNumberFormat="1" applyFont="1" applyFill="1" applyBorder="1" applyAlignment="1">
      <alignment horizontal="center" vertical="center"/>
    </xf>
    <xf numFmtId="0" fontId="3" fillId="0" borderId="0" xfId="0" applyFont="1" applyAlignment="1">
      <alignment vertical="top"/>
    </xf>
    <xf numFmtId="3" fontId="5" fillId="0" borderId="1" xfId="0" quotePrefix="1" applyNumberFormat="1" applyFont="1" applyBorder="1" applyAlignment="1">
      <alignment horizontal="center" vertical="center"/>
    </xf>
    <xf numFmtId="49" fontId="8" fillId="0" borderId="0" xfId="0" applyNumberFormat="1" applyFont="1" applyAlignment="1">
      <alignment horizontal="center" vertical="center"/>
    </xf>
    <xf numFmtId="10" fontId="11" fillId="0" borderId="1" xfId="0" applyNumberFormat="1" applyFont="1" applyBorder="1" applyAlignment="1">
      <alignment horizontal="center" vertical="center"/>
    </xf>
    <xf numFmtId="0" fontId="4" fillId="13" borderId="3" xfId="0" applyFont="1" applyFill="1" applyBorder="1" applyAlignment="1">
      <alignment horizontal="center" wrapText="1"/>
    </xf>
    <xf numFmtId="0" fontId="4" fillId="13" borderId="4" xfId="0" applyFont="1" applyFill="1" applyBorder="1" applyAlignment="1">
      <alignment horizontal="center" wrapText="1"/>
    </xf>
    <xf numFmtId="0" fontId="2" fillId="0" borderId="0" xfId="0" applyFont="1" applyAlignment="1">
      <alignment horizontal="left" vertical="center"/>
    </xf>
    <xf numFmtId="0" fontId="6" fillId="5" borderId="0" xfId="0" applyFont="1" applyFill="1" applyAlignment="1">
      <alignment vertical="center"/>
    </xf>
    <xf numFmtId="0" fontId="6" fillId="5" borderId="0" xfId="0" applyFont="1" applyFill="1" applyAlignment="1">
      <alignment horizontal="center" vertical="center" wrapText="1"/>
    </xf>
    <xf numFmtId="164" fontId="8" fillId="0" borderId="4" xfId="0" quotePrefix="1" applyNumberFormat="1" applyFont="1" applyBorder="1" applyAlignment="1">
      <alignment horizontal="center" vertical="center"/>
    </xf>
    <xf numFmtId="0" fontId="3" fillId="0" borderId="0" xfId="0" applyFont="1" applyAlignment="1">
      <alignment horizontal="left"/>
    </xf>
    <xf numFmtId="164" fontId="2" fillId="12" borderId="4" xfId="0" applyNumberFormat="1" applyFont="1" applyFill="1" applyBorder="1" applyAlignment="1">
      <alignment horizontal="center" vertical="center" wrapText="1"/>
    </xf>
    <xf numFmtId="164" fontId="2" fillId="12" borderId="4" xfId="0" quotePrefix="1" applyNumberFormat="1" applyFont="1" applyFill="1" applyBorder="1" applyAlignment="1">
      <alignment horizontal="center" vertical="center" wrapText="1"/>
    </xf>
    <xf numFmtId="9" fontId="6" fillId="12" borderId="4" xfId="0" applyNumberFormat="1" applyFont="1" applyFill="1" applyBorder="1" applyAlignment="1">
      <alignment horizontal="center" vertical="center" wrapText="1"/>
    </xf>
    <xf numFmtId="164" fontId="3" fillId="12" borderId="4" xfId="0" applyNumberFormat="1" applyFont="1" applyFill="1" applyBorder="1" applyAlignment="1">
      <alignment horizontal="center" vertical="center"/>
    </xf>
    <xf numFmtId="164" fontId="3" fillId="12" borderId="4" xfId="0" quotePrefix="1" applyNumberFormat="1" applyFont="1" applyFill="1" applyBorder="1" applyAlignment="1">
      <alignment horizontal="center" vertical="center"/>
    </xf>
    <xf numFmtId="164" fontId="8" fillId="12" borderId="4" xfId="0" applyNumberFormat="1" applyFont="1" applyFill="1" applyBorder="1" applyAlignment="1">
      <alignment horizontal="center" vertical="center"/>
    </xf>
    <xf numFmtId="164" fontId="6" fillId="12" borderId="4" xfId="0" applyNumberFormat="1" applyFont="1" applyFill="1" applyBorder="1" applyAlignment="1">
      <alignment horizontal="center" vertical="center" wrapText="1"/>
    </xf>
    <xf numFmtId="0" fontId="3" fillId="0" borderId="0" xfId="0" quotePrefix="1" applyFont="1" applyAlignment="1">
      <alignment horizontal="center" vertical="center" wrapText="1"/>
    </xf>
    <xf numFmtId="0" fontId="2" fillId="12" borderId="4" xfId="0" applyFont="1" applyFill="1" applyBorder="1" applyAlignment="1">
      <alignment horizontal="center" vertical="center" wrapText="1"/>
    </xf>
    <xf numFmtId="9" fontId="8" fillId="12" borderId="4" xfId="0" applyNumberFormat="1" applyFont="1" applyFill="1" applyBorder="1" applyAlignment="1">
      <alignment horizontal="center" vertical="center"/>
    </xf>
    <xf numFmtId="9" fontId="2" fillId="12" borderId="5" xfId="0" applyNumberFormat="1" applyFont="1" applyFill="1" applyBorder="1" applyAlignment="1">
      <alignment horizontal="center" vertical="center" wrapText="1"/>
    </xf>
    <xf numFmtId="164" fontId="2" fillId="12" borderId="5" xfId="0" applyNumberFormat="1" applyFont="1" applyFill="1" applyBorder="1" applyAlignment="1">
      <alignment horizontal="center" vertical="center" wrapText="1"/>
    </xf>
    <xf numFmtId="164" fontId="2" fillId="12" borderId="14" xfId="0" applyNumberFormat="1" applyFont="1" applyFill="1" applyBorder="1" applyAlignment="1">
      <alignment horizontal="center" vertical="center" wrapText="1"/>
    </xf>
    <xf numFmtId="3" fontId="3" fillId="0" borderId="0" xfId="0" applyNumberFormat="1" applyFont="1"/>
    <xf numFmtId="0" fontId="32" fillId="0" borderId="0" xfId="0" applyFont="1"/>
    <xf numFmtId="9" fontId="2" fillId="0" borderId="3" xfId="0" applyNumberFormat="1" applyFont="1" applyBorder="1" applyAlignment="1">
      <alignment horizontal="center" vertical="center"/>
    </xf>
    <xf numFmtId="0" fontId="6" fillId="3" borderId="5" xfId="0" applyFont="1" applyFill="1" applyBorder="1" applyAlignment="1">
      <alignment horizontal="left" vertical="center"/>
    </xf>
    <xf numFmtId="49" fontId="6" fillId="5" borderId="1" xfId="0" applyNumberFormat="1" applyFont="1" applyFill="1" applyBorder="1" applyAlignment="1">
      <alignment horizontal="center" vertical="center" wrapText="1"/>
    </xf>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4" fillId="4" borderId="0" xfId="0" applyFont="1" applyFill="1" applyAlignment="1">
      <alignment horizontal="center" vertical="center" wrapText="1"/>
    </xf>
    <xf numFmtId="2" fontId="5" fillId="0" borderId="1" xfId="0" applyNumberFormat="1" applyFont="1" applyBorder="1" applyAlignment="1">
      <alignment horizontal="center" vertical="center" wrapText="1"/>
    </xf>
    <xf numFmtId="0" fontId="2" fillId="5" borderId="17" xfId="0" applyFont="1" applyFill="1" applyBorder="1" applyAlignment="1">
      <alignment horizontal="center" vertical="center" wrapText="1"/>
    </xf>
    <xf numFmtId="0" fontId="35" fillId="0" borderId="0" xfId="0" applyFont="1" applyAlignment="1">
      <alignment horizontal="left"/>
    </xf>
    <xf numFmtId="0" fontId="3" fillId="11" borderId="17" xfId="0" applyFont="1" applyFill="1" applyBorder="1" applyAlignment="1">
      <alignment horizontal="center"/>
    </xf>
    <xf numFmtId="10" fontId="3" fillId="0" borderId="1" xfId="0" quotePrefix="1" applyNumberFormat="1" applyFont="1" applyBorder="1" applyAlignment="1">
      <alignment horizontal="center" vertical="center"/>
    </xf>
    <xf numFmtId="0" fontId="31" fillId="11" borderId="0" xfId="0" applyFont="1" applyFill="1" applyAlignment="1">
      <alignment vertical="center"/>
    </xf>
    <xf numFmtId="0" fontId="31" fillId="11" borderId="9" xfId="0" applyFont="1" applyFill="1" applyBorder="1" applyAlignment="1">
      <alignment vertical="center"/>
    </xf>
    <xf numFmtId="9" fontId="3" fillId="0" borderId="0" xfId="0" applyNumberFormat="1" applyFont="1"/>
    <xf numFmtId="3" fontId="2" fillId="12" borderId="1" xfId="0" applyNumberFormat="1" applyFont="1" applyFill="1" applyBorder="1" applyAlignment="1">
      <alignment horizontal="center" vertical="center" wrapText="1"/>
    </xf>
    <xf numFmtId="3" fontId="2" fillId="12" borderId="3" xfId="0" applyNumberFormat="1" applyFont="1" applyFill="1" applyBorder="1" applyAlignment="1">
      <alignment horizontal="center" vertical="center" wrapText="1"/>
    </xf>
    <xf numFmtId="166" fontId="3" fillId="0" borderId="0" xfId="0" applyNumberFormat="1" applyFont="1"/>
    <xf numFmtId="0" fontId="21" fillId="0" borderId="0" xfId="2"/>
    <xf numFmtId="0" fontId="21" fillId="0" borderId="0" xfId="2" applyAlignment="1">
      <alignment horizontal="left"/>
    </xf>
    <xf numFmtId="0" fontId="36" fillId="0" borderId="0" xfId="0" applyFont="1" applyAlignment="1">
      <alignment horizontal="left"/>
    </xf>
    <xf numFmtId="0" fontId="36" fillId="0" borderId="0" xfId="0" applyFont="1" applyAlignment="1">
      <alignment vertical="center"/>
    </xf>
    <xf numFmtId="0" fontId="21" fillId="0" borderId="0" xfId="2" applyAlignment="1">
      <alignment horizontal="left" vertical="center"/>
    </xf>
    <xf numFmtId="0" fontId="21" fillId="0" borderId="0" xfId="2" applyAlignment="1">
      <alignment vertical="center"/>
    </xf>
    <xf numFmtId="164" fontId="8" fillId="0" borderId="0" xfId="0" applyNumberFormat="1" applyFont="1"/>
    <xf numFmtId="3" fontId="3" fillId="12" borderId="3" xfId="0" applyNumberFormat="1" applyFont="1" applyFill="1" applyBorder="1" applyAlignment="1">
      <alignment horizontal="center"/>
    </xf>
    <xf numFmtId="0" fontId="3" fillId="0" borderId="0" xfId="0" applyFont="1" applyAlignment="1">
      <alignment horizontal="center" wrapText="1"/>
    </xf>
    <xf numFmtId="0" fontId="21" fillId="0" borderId="0" xfId="2" applyAlignment="1">
      <alignment horizontal="center"/>
    </xf>
    <xf numFmtId="0" fontId="38" fillId="0" borderId="0" xfId="0" applyFont="1" applyAlignment="1">
      <alignment horizontal="left"/>
    </xf>
    <xf numFmtId="3" fontId="21" fillId="0" borderId="0" xfId="2" applyNumberFormat="1" applyAlignment="1">
      <alignment horizontal="left" vertical="center"/>
    </xf>
    <xf numFmtId="0" fontId="3" fillId="0" borderId="3" xfId="0" applyFont="1" applyBorder="1" applyAlignment="1">
      <alignment horizontal="center" vertical="center"/>
    </xf>
    <xf numFmtId="3" fontId="11" fillId="0" borderId="1" xfId="0" applyNumberFormat="1" applyFont="1" applyBorder="1" applyAlignment="1">
      <alignment horizontal="center" vertical="center"/>
    </xf>
    <xf numFmtId="3" fontId="27" fillId="3" borderId="3" xfId="0" applyNumberFormat="1" applyFont="1" applyFill="1" applyBorder="1" applyAlignment="1">
      <alignment horizontal="left" vertical="center"/>
    </xf>
    <xf numFmtId="0" fontId="27" fillId="3" borderId="3" xfId="0" applyFont="1" applyFill="1" applyBorder="1" applyAlignment="1">
      <alignment horizontal="left" vertical="center"/>
    </xf>
    <xf numFmtId="0" fontId="20" fillId="3" borderId="3" xfId="0" applyFont="1" applyFill="1" applyBorder="1" applyAlignment="1">
      <alignment horizontal="left" vertical="center"/>
    </xf>
    <xf numFmtId="3" fontId="8" fillId="0" borderId="0" xfId="0" applyNumberFormat="1" applyFont="1" applyAlignment="1">
      <alignment horizontal="center" vertical="center"/>
    </xf>
    <xf numFmtId="3" fontId="3" fillId="0" borderId="0" xfId="0" applyNumberFormat="1" applyFont="1" applyAlignment="1">
      <alignment horizontal="center" vertical="center"/>
    </xf>
    <xf numFmtId="3" fontId="3" fillId="12" borderId="1" xfId="0" applyNumberFormat="1" applyFont="1" applyFill="1" applyBorder="1" applyAlignment="1">
      <alignment horizontal="center" vertical="center"/>
    </xf>
    <xf numFmtId="3" fontId="11" fillId="12" borderId="1" xfId="0" applyNumberFormat="1" applyFont="1" applyFill="1" applyBorder="1" applyAlignment="1">
      <alignment horizontal="center" vertical="center"/>
    </xf>
    <xf numFmtId="0" fontId="8" fillId="5" borderId="1" xfId="0" applyFont="1" applyFill="1" applyBorder="1" applyAlignment="1">
      <alignment horizontal="center"/>
    </xf>
    <xf numFmtId="0" fontId="3" fillId="0" borderId="1" xfId="0" applyFont="1" applyBorder="1" applyAlignment="1">
      <alignment horizontal="center" vertical="center"/>
    </xf>
    <xf numFmtId="3" fontId="3" fillId="0" borderId="1" xfId="0" applyNumberFormat="1" applyFont="1" applyBorder="1" applyAlignment="1">
      <alignment horizontal="center" vertical="center"/>
    </xf>
    <xf numFmtId="3" fontId="8" fillId="0" borderId="1" xfId="0" applyNumberFormat="1" applyFont="1" applyBorder="1" applyAlignment="1">
      <alignment horizontal="center" vertical="center"/>
    </xf>
    <xf numFmtId="3" fontId="3" fillId="0" borderId="3" xfId="0" applyNumberFormat="1" applyFont="1" applyBorder="1" applyAlignment="1">
      <alignment horizontal="center" vertical="center"/>
    </xf>
    <xf numFmtId="3" fontId="3" fillId="0" borderId="4" xfId="0" applyNumberFormat="1" applyFont="1" applyBorder="1" applyAlignment="1">
      <alignment horizontal="center" vertical="center"/>
    </xf>
    <xf numFmtId="3" fontId="8" fillId="0" borderId="3" xfId="0" applyNumberFormat="1" applyFont="1" applyBorder="1" applyAlignment="1">
      <alignment horizontal="center" vertical="center"/>
    </xf>
    <xf numFmtId="0" fontId="16" fillId="7" borderId="0" xfId="0" applyFont="1" applyFill="1" applyAlignment="1">
      <alignment vertical="center"/>
    </xf>
    <xf numFmtId="0" fontId="21" fillId="0" borderId="0" xfId="2" applyFill="1"/>
    <xf numFmtId="0" fontId="27" fillId="3" borderId="4" xfId="0" applyFont="1" applyFill="1" applyBorder="1" applyAlignment="1">
      <alignment horizontal="center" vertical="center"/>
    </xf>
    <xf numFmtId="0" fontId="20" fillId="3" borderId="4" xfId="0" applyFont="1" applyFill="1" applyBorder="1" applyAlignment="1">
      <alignment horizontal="center" vertical="center"/>
    </xf>
    <xf numFmtId="3" fontId="27" fillId="3" borderId="4" xfId="0" applyNumberFormat="1" applyFont="1" applyFill="1" applyBorder="1" applyAlignment="1">
      <alignment horizontal="center" vertical="center"/>
    </xf>
    <xf numFmtId="3" fontId="2" fillId="0" borderId="1" xfId="0" applyNumberFormat="1" applyFont="1" applyBorder="1" applyAlignment="1">
      <alignment horizontal="left" vertical="center"/>
    </xf>
    <xf numFmtId="3" fontId="11" fillId="0" borderId="1" xfId="0" applyNumberFormat="1" applyFont="1" applyBorder="1" applyAlignment="1">
      <alignment horizontal="left" vertical="center"/>
    </xf>
    <xf numFmtId="0" fontId="8" fillId="13" borderId="16" xfId="0" applyFont="1" applyFill="1" applyBorder="1" applyAlignment="1">
      <alignment horizontal="center" vertical="center" wrapText="1"/>
    </xf>
    <xf numFmtId="3" fontId="21" fillId="0" borderId="0" xfId="2" applyNumberFormat="1" applyAlignment="1">
      <alignment vertical="center"/>
    </xf>
    <xf numFmtId="0" fontId="40" fillId="0" borderId="0" xfId="0" applyFont="1"/>
    <xf numFmtId="167" fontId="39" fillId="0" borderId="0" xfId="0" applyNumberFormat="1" applyFont="1" applyAlignment="1">
      <alignment vertical="center"/>
    </xf>
    <xf numFmtId="168" fontId="39" fillId="0" borderId="0" xfId="0" applyNumberFormat="1" applyFont="1" applyAlignment="1">
      <alignment vertical="center"/>
    </xf>
    <xf numFmtId="0" fontId="3" fillId="0" borderId="16" xfId="0" applyFont="1" applyBorder="1" applyAlignment="1">
      <alignment vertical="center" wrapText="1"/>
    </xf>
    <xf numFmtId="9" fontId="8" fillId="0" borderId="0" xfId="0" applyNumberFormat="1" applyFont="1" applyAlignment="1">
      <alignment vertical="center"/>
    </xf>
    <xf numFmtId="0" fontId="24" fillId="0" borderId="0" xfId="0" applyFont="1"/>
    <xf numFmtId="0" fontId="2" fillId="0" borderId="3" xfId="0" applyFont="1" applyBorder="1"/>
    <xf numFmtId="0" fontId="24" fillId="0" borderId="16" xfId="0" applyFont="1" applyBorder="1"/>
    <xf numFmtId="0" fontId="24" fillId="0" borderId="23" xfId="0" applyFont="1" applyBorder="1"/>
    <xf numFmtId="0" fontId="24" fillId="0" borderId="29" xfId="0" applyFont="1" applyBorder="1"/>
    <xf numFmtId="0" fontId="2" fillId="0" borderId="6" xfId="0" applyFont="1" applyBorder="1"/>
    <xf numFmtId="0" fontId="2" fillId="0" borderId="12" xfId="0" applyFont="1" applyBorder="1"/>
    <xf numFmtId="0" fontId="2" fillId="0" borderId="7" xfId="0" applyFont="1" applyBorder="1"/>
    <xf numFmtId="0" fontId="24" fillId="0" borderId="27" xfId="0" applyFont="1" applyBorder="1"/>
    <xf numFmtId="0" fontId="24" fillId="0" borderId="30" xfId="0" applyFont="1" applyBorder="1"/>
    <xf numFmtId="0" fontId="24" fillId="0" borderId="25" xfId="0" applyFont="1" applyBorder="1"/>
    <xf numFmtId="0" fontId="6" fillId="0" borderId="6" xfId="0" applyFont="1" applyBorder="1"/>
    <xf numFmtId="0" fontId="6" fillId="0" borderId="12" xfId="0" applyFont="1" applyBorder="1"/>
    <xf numFmtId="0" fontId="6" fillId="0" borderId="7" xfId="0" applyFont="1" applyBorder="1"/>
    <xf numFmtId="0" fontId="4" fillId="0" borderId="13" xfId="0" applyFont="1" applyBorder="1"/>
    <xf numFmtId="3" fontId="24" fillId="0" borderId="27" xfId="0" applyNumberFormat="1" applyFont="1" applyBorder="1"/>
    <xf numFmtId="3" fontId="24" fillId="0" borderId="29" xfId="0" applyNumberFormat="1" applyFont="1" applyBorder="1"/>
    <xf numFmtId="0" fontId="41" fillId="0" borderId="0" xfId="0" applyFont="1"/>
    <xf numFmtId="0" fontId="6" fillId="0" borderId="34" xfId="0" applyFont="1" applyBorder="1" applyAlignment="1">
      <alignment wrapText="1"/>
    </xf>
    <xf numFmtId="0" fontId="42" fillId="0" borderId="0" xfId="0" applyFont="1"/>
    <xf numFmtId="3" fontId="24" fillId="0" borderId="23" xfId="0" applyNumberFormat="1" applyFont="1" applyBorder="1"/>
    <xf numFmtId="3" fontId="43" fillId="0" borderId="29" xfId="0" applyNumberFormat="1" applyFont="1" applyBorder="1"/>
    <xf numFmtId="1" fontId="3" fillId="0" borderId="0" xfId="0" applyNumberFormat="1" applyFont="1"/>
    <xf numFmtId="3" fontId="0" fillId="0" borderId="0" xfId="0" applyNumberFormat="1"/>
    <xf numFmtId="3" fontId="2" fillId="3" borderId="4" xfId="0" applyNumberFormat="1" applyFont="1" applyFill="1" applyBorder="1" applyAlignment="1">
      <alignment vertical="center"/>
    </xf>
    <xf numFmtId="3" fontId="2" fillId="3" borderId="5" xfId="0" applyNumberFormat="1" applyFont="1" applyFill="1" applyBorder="1" applyAlignment="1">
      <alignment vertical="center"/>
    </xf>
    <xf numFmtId="3" fontId="6" fillId="3" borderId="5" xfId="0" applyNumberFormat="1" applyFont="1" applyFill="1" applyBorder="1" applyAlignment="1">
      <alignment vertical="center"/>
    </xf>
    <xf numFmtId="3" fontId="3" fillId="3" borderId="4" xfId="0" applyNumberFormat="1" applyFont="1" applyFill="1" applyBorder="1" applyAlignment="1">
      <alignment vertical="center"/>
    </xf>
    <xf numFmtId="3" fontId="3" fillId="3" borderId="5" xfId="0" applyNumberFormat="1" applyFont="1" applyFill="1" applyBorder="1" applyAlignment="1">
      <alignment vertical="center"/>
    </xf>
    <xf numFmtId="3" fontId="6" fillId="0" borderId="1" xfId="0" applyNumberFormat="1" applyFont="1" applyBorder="1" applyAlignment="1">
      <alignment horizontal="center" vertical="center"/>
    </xf>
    <xf numFmtId="0" fontId="44" fillId="0" borderId="0" xfId="0" applyFont="1" applyAlignment="1">
      <alignment horizontal="left"/>
    </xf>
    <xf numFmtId="9" fontId="8" fillId="0" borderId="1" xfId="0" applyNumberFormat="1" applyFont="1" applyBorder="1" applyAlignment="1">
      <alignment horizontal="center" vertical="center"/>
    </xf>
    <xf numFmtId="3" fontId="8" fillId="0" borderId="1" xfId="0" applyNumberFormat="1" applyFont="1" applyBorder="1" applyAlignment="1">
      <alignment horizontal="center" vertical="center" wrapText="1"/>
    </xf>
    <xf numFmtId="10" fontId="8" fillId="0" borderId="1" xfId="0" quotePrefix="1" applyNumberFormat="1" applyFont="1" applyBorder="1" applyAlignment="1">
      <alignment horizontal="center" vertical="center"/>
    </xf>
    <xf numFmtId="3" fontId="3" fillId="0" borderId="1" xfId="0" applyNumberFormat="1" applyFont="1" applyBorder="1" applyAlignment="1">
      <alignment horizontal="center" vertical="center" wrapText="1"/>
    </xf>
    <xf numFmtId="3" fontId="2" fillId="0" borderId="2" xfId="0" applyNumberFormat="1" applyFont="1" applyBorder="1"/>
    <xf numFmtId="3" fontId="2" fillId="0" borderId="1" xfId="0" applyNumberFormat="1" applyFont="1" applyBorder="1" applyAlignment="1">
      <alignment horizontal="center"/>
    </xf>
    <xf numFmtId="3" fontId="2" fillId="12" borderId="1" xfId="0" applyNumberFormat="1" applyFont="1" applyFill="1" applyBorder="1" applyAlignment="1">
      <alignment horizontal="center"/>
    </xf>
    <xf numFmtId="3" fontId="2" fillId="12" borderId="3" xfId="0" applyNumberFormat="1" applyFont="1" applyFill="1" applyBorder="1" applyAlignment="1">
      <alignment horizontal="center"/>
    </xf>
    <xf numFmtId="0" fontId="2" fillId="12" borderId="1" xfId="0" applyFont="1" applyFill="1" applyBorder="1" applyAlignment="1">
      <alignment horizontal="center"/>
    </xf>
    <xf numFmtId="0" fontId="2" fillId="12" borderId="3" xfId="0" applyFont="1" applyFill="1" applyBorder="1" applyAlignment="1">
      <alignment horizontal="center"/>
    </xf>
    <xf numFmtId="0" fontId="6" fillId="6" borderId="1" xfId="0" applyFont="1" applyFill="1" applyBorder="1" applyAlignment="1">
      <alignment horizontal="center"/>
    </xf>
    <xf numFmtId="3" fontId="45" fillId="0" borderId="0" xfId="0" applyNumberFormat="1" applyFont="1" applyAlignment="1">
      <alignment horizontal="left" vertical="center"/>
    </xf>
    <xf numFmtId="0" fontId="10" fillId="0" borderId="0" xfId="0" applyFont="1"/>
    <xf numFmtId="3" fontId="2" fillId="0" borderId="1" xfId="0" applyNumberFormat="1" applyFont="1" applyBorder="1" applyAlignment="1">
      <alignment horizontal="left" vertical="top" wrapText="1"/>
    </xf>
    <xf numFmtId="3" fontId="2" fillId="0" borderId="1" xfId="0" applyNumberFormat="1" applyFont="1" applyBorder="1" applyAlignment="1">
      <alignment horizontal="left" vertical="top"/>
    </xf>
    <xf numFmtId="9" fontId="2" fillId="0" borderId="1" xfId="0" applyNumberFormat="1" applyFont="1" applyBorder="1" applyAlignment="1">
      <alignment horizontal="left" vertical="top"/>
    </xf>
    <xf numFmtId="0" fontId="2" fillId="0" borderId="1" xfId="0" applyFont="1" applyBorder="1" applyAlignment="1">
      <alignment horizontal="left" vertical="top"/>
    </xf>
    <xf numFmtId="3" fontId="6" fillId="0" borderId="16" xfId="0" applyNumberFormat="1" applyFont="1" applyBorder="1" applyAlignment="1">
      <alignment horizontal="center" vertical="center"/>
    </xf>
    <xf numFmtId="9" fontId="6" fillId="0" borderId="16" xfId="0" applyNumberFormat="1" applyFont="1" applyBorder="1" applyAlignment="1">
      <alignment horizontal="center" vertical="center"/>
    </xf>
    <xf numFmtId="165" fontId="6" fillId="0" borderId="4" xfId="0" applyNumberFormat="1" applyFont="1" applyBorder="1" applyAlignment="1">
      <alignment vertical="center"/>
    </xf>
    <xf numFmtId="9" fontId="6" fillId="5" borderId="1" xfId="0" applyNumberFormat="1" applyFont="1" applyFill="1" applyBorder="1" applyAlignment="1">
      <alignment horizontal="center" vertical="center"/>
    </xf>
    <xf numFmtId="0" fontId="2" fillId="0" borderId="1" xfId="0" quotePrefix="1" applyFont="1" applyBorder="1" applyAlignment="1">
      <alignment horizontal="center" vertical="center"/>
    </xf>
    <xf numFmtId="9" fontId="6" fillId="5" borderId="4" xfId="0" applyNumberFormat="1" applyFont="1" applyFill="1" applyBorder="1" applyAlignment="1">
      <alignment horizontal="center" vertical="center"/>
    </xf>
    <xf numFmtId="164" fontId="6" fillId="5" borderId="1" xfId="0" applyNumberFormat="1" applyFont="1" applyFill="1" applyBorder="1" applyAlignment="1">
      <alignment horizontal="center" vertical="center"/>
    </xf>
    <xf numFmtId="9" fontId="2" fillId="0" borderId="1" xfId="0" quotePrefix="1" applyNumberFormat="1" applyFont="1" applyBorder="1" applyAlignment="1">
      <alignment horizontal="center" vertical="center"/>
    </xf>
    <xf numFmtId="1" fontId="6" fillId="0" borderId="4" xfId="0" applyNumberFormat="1" applyFont="1" applyBorder="1" applyAlignment="1">
      <alignment vertical="center"/>
    </xf>
    <xf numFmtId="9" fontId="2" fillId="15" borderId="1" xfId="0" quotePrefix="1" applyNumberFormat="1" applyFont="1" applyFill="1" applyBorder="1" applyAlignment="1">
      <alignment horizontal="center" vertical="center"/>
    </xf>
    <xf numFmtId="165" fontId="2" fillId="0" borderId="1" xfId="0" applyNumberFormat="1" applyFont="1" applyBorder="1" applyAlignment="1">
      <alignment horizontal="center" vertical="center"/>
    </xf>
    <xf numFmtId="165" fontId="6" fillId="5" borderId="1" xfId="0" applyNumberFormat="1" applyFont="1" applyFill="1" applyBorder="1" applyAlignment="1">
      <alignment horizontal="center" vertical="center"/>
    </xf>
    <xf numFmtId="3" fontId="6" fillId="5" borderId="1" xfId="0" applyNumberFormat="1" applyFont="1" applyFill="1" applyBorder="1" applyAlignment="1">
      <alignment horizontal="center" vertical="center"/>
    </xf>
    <xf numFmtId="49" fontId="6" fillId="5" borderId="1" xfId="0" applyNumberFormat="1" applyFont="1" applyFill="1" applyBorder="1" applyAlignment="1">
      <alignment horizontal="center" vertical="center"/>
    </xf>
    <xf numFmtId="0" fontId="6" fillId="0" borderId="0" xfId="0" applyFont="1" applyAlignment="1">
      <alignment horizontal="center" vertical="center"/>
    </xf>
    <xf numFmtId="0" fontId="6" fillId="5" borderId="1" xfId="0" applyFont="1" applyFill="1" applyBorder="1"/>
    <xf numFmtId="0" fontId="6" fillId="5" borderId="1" xfId="0" applyFont="1" applyFill="1" applyBorder="1" applyAlignment="1">
      <alignment horizontal="center" wrapText="1"/>
    </xf>
    <xf numFmtId="0" fontId="6" fillId="5" borderId="3" xfId="0" applyFont="1" applyFill="1" applyBorder="1" applyAlignment="1">
      <alignment horizontal="center" wrapText="1"/>
    </xf>
    <xf numFmtId="0" fontId="2" fillId="0" borderId="1" xfId="28" quotePrefix="1" applyNumberFormat="1" applyFont="1" applyBorder="1" applyAlignment="1">
      <alignment horizontal="center" vertical="center"/>
    </xf>
    <xf numFmtId="0" fontId="2" fillId="0" borderId="1" xfId="28" applyNumberFormat="1" applyFont="1" applyBorder="1" applyAlignment="1">
      <alignment horizontal="center" vertical="center"/>
    </xf>
    <xf numFmtId="0" fontId="2" fillId="0" borderId="1" xfId="28" applyNumberFormat="1" applyFont="1" applyFill="1" applyBorder="1" applyAlignment="1">
      <alignment horizontal="center" vertical="center"/>
    </xf>
    <xf numFmtId="9" fontId="6" fillId="0" borderId="1" xfId="0" quotePrefix="1" applyNumberFormat="1" applyFont="1" applyBorder="1" applyAlignment="1">
      <alignment horizontal="center" vertical="center"/>
    </xf>
    <xf numFmtId="3" fontId="2" fillId="0" borderId="2" xfId="0" applyNumberFormat="1" applyFont="1" applyBorder="1" applyAlignment="1">
      <alignment horizontal="center" vertical="center" wrapText="1"/>
    </xf>
    <xf numFmtId="0" fontId="2" fillId="11" borderId="9" xfId="0" applyFont="1" applyFill="1" applyBorder="1" applyAlignment="1">
      <alignment vertical="center"/>
    </xf>
    <xf numFmtId="0" fontId="16" fillId="7" borderId="13" xfId="0" applyFont="1" applyFill="1" applyBorder="1" applyAlignment="1">
      <alignment vertical="center"/>
    </xf>
    <xf numFmtId="9" fontId="2" fillId="0" borderId="1" xfId="0" applyNumberFormat="1" applyFont="1" applyBorder="1" applyAlignment="1">
      <alignment horizontal="left" vertical="top" wrapText="1"/>
    </xf>
    <xf numFmtId="9" fontId="2" fillId="0" borderId="1" xfId="0" quotePrefix="1" applyNumberFormat="1" applyFont="1" applyBorder="1" applyAlignment="1">
      <alignment horizontal="left" vertical="top" wrapText="1"/>
    </xf>
    <xf numFmtId="3" fontId="2" fillId="0" borderId="1" xfId="0" applyNumberFormat="1" applyFont="1" applyBorder="1"/>
    <xf numFmtId="3" fontId="2" fillId="12" borderId="1" xfId="0" applyNumberFormat="1" applyFont="1" applyFill="1" applyBorder="1"/>
    <xf numFmtId="3" fontId="2" fillId="12" borderId="3" xfId="0" applyNumberFormat="1" applyFont="1" applyFill="1" applyBorder="1"/>
    <xf numFmtId="3" fontId="2" fillId="0" borderId="16" xfId="0" applyNumberFormat="1" applyFont="1" applyBorder="1"/>
    <xf numFmtId="3" fontId="2" fillId="12" borderId="16" xfId="0" applyNumberFormat="1" applyFont="1" applyFill="1" applyBorder="1"/>
    <xf numFmtId="4" fontId="6" fillId="0" borderId="0" xfId="0" applyNumberFormat="1" applyFont="1" applyAlignment="1">
      <alignment vertical="center"/>
    </xf>
    <xf numFmtId="0" fontId="2" fillId="0" borderId="1" xfId="0" applyFont="1" applyBorder="1" applyAlignment="1">
      <alignment horizontal="center"/>
    </xf>
    <xf numFmtId="0" fontId="6" fillId="0" borderId="1" xfId="0" applyFont="1" applyBorder="1" applyAlignment="1">
      <alignment horizontal="center"/>
    </xf>
    <xf numFmtId="2" fontId="6" fillId="6" borderId="1" xfId="0" applyNumberFormat="1" applyFont="1" applyFill="1" applyBorder="1" applyAlignment="1">
      <alignment horizontal="center" vertical="center" wrapText="1"/>
    </xf>
    <xf numFmtId="0" fontId="6" fillId="0" borderId="0" xfId="0" applyFont="1"/>
    <xf numFmtId="0" fontId="2" fillId="0" borderId="0" xfId="0" applyFont="1"/>
    <xf numFmtId="2" fontId="6" fillId="0" borderId="0" xfId="0" applyNumberFormat="1" applyFont="1" applyAlignment="1">
      <alignment horizontal="center" vertical="center" wrapText="1"/>
    </xf>
    <xf numFmtId="10" fontId="2" fillId="0" borderId="1" xfId="0" applyNumberFormat="1" applyFont="1" applyBorder="1" applyAlignment="1">
      <alignment horizontal="right"/>
    </xf>
    <xf numFmtId="3" fontId="6" fillId="0" borderId="1" xfId="0" applyNumberFormat="1" applyFont="1" applyBorder="1"/>
    <xf numFmtId="3" fontId="46" fillId="0" borderId="0" xfId="0" applyNumberFormat="1" applyFont="1" applyAlignment="1">
      <alignment horizontal="center"/>
    </xf>
    <xf numFmtId="3" fontId="45" fillId="0" borderId="0" xfId="0" applyNumberFormat="1" applyFont="1" applyAlignment="1">
      <alignment horizontal="center"/>
    </xf>
    <xf numFmtId="3" fontId="6" fillId="6" borderId="1" xfId="0" applyNumberFormat="1" applyFont="1" applyFill="1" applyBorder="1" applyAlignment="1">
      <alignment horizontal="center" vertical="center"/>
    </xf>
    <xf numFmtId="0" fontId="27" fillId="3" borderId="5" xfId="0" applyFont="1" applyFill="1" applyBorder="1" applyAlignment="1">
      <alignment horizontal="center" vertical="center"/>
    </xf>
    <xf numFmtId="3" fontId="27" fillId="3" borderId="5" xfId="0" applyNumberFormat="1" applyFont="1" applyFill="1" applyBorder="1" applyAlignment="1">
      <alignment horizontal="center" vertical="center"/>
    </xf>
    <xf numFmtId="3" fontId="47" fillId="3" borderId="4" xfId="0" applyNumberFormat="1" applyFont="1" applyFill="1" applyBorder="1" applyAlignment="1">
      <alignment horizontal="center" vertical="center"/>
    </xf>
    <xf numFmtId="3" fontId="6" fillId="12" borderId="1" xfId="0" applyNumberFormat="1" applyFont="1" applyFill="1" applyBorder="1" applyAlignment="1">
      <alignment horizontal="center" vertical="center"/>
    </xf>
    <xf numFmtId="3" fontId="45" fillId="3" borderId="4" xfId="0" applyNumberFormat="1" applyFont="1" applyFill="1" applyBorder="1" applyAlignment="1">
      <alignment horizontal="center" vertical="center"/>
    </xf>
    <xf numFmtId="0" fontId="6" fillId="10" borderId="4" xfId="0" applyFont="1" applyFill="1" applyBorder="1" applyAlignment="1">
      <alignment vertical="center"/>
    </xf>
    <xf numFmtId="0" fontId="6" fillId="10" borderId="5" xfId="0" applyFont="1" applyFill="1" applyBorder="1" applyAlignment="1">
      <alignment vertical="center"/>
    </xf>
    <xf numFmtId="3" fontId="6" fillId="0" borderId="1" xfId="0" applyNumberFormat="1" applyFont="1" applyBorder="1" applyAlignment="1">
      <alignment horizontal="left" vertical="top"/>
    </xf>
    <xf numFmtId="3" fontId="2" fillId="0" borderId="16" xfId="0" applyNumberFormat="1" applyFont="1" applyBorder="1" applyAlignment="1">
      <alignment vertical="center"/>
    </xf>
    <xf numFmtId="3" fontId="6" fillId="12" borderId="16" xfId="0" applyNumberFormat="1" applyFont="1" applyFill="1" applyBorder="1" applyAlignment="1">
      <alignment vertical="center"/>
    </xf>
    <xf numFmtId="3" fontId="6" fillId="0" borderId="16" xfId="0" applyNumberFormat="1" applyFont="1" applyBorder="1" applyAlignment="1">
      <alignment vertical="center"/>
    </xf>
    <xf numFmtId="3" fontId="2" fillId="0" borderId="16" xfId="0" applyNumberFormat="1" applyFont="1" applyBorder="1" applyAlignment="1">
      <alignment horizontal="center" vertical="center"/>
    </xf>
    <xf numFmtId="9" fontId="2" fillId="0" borderId="16" xfId="0" applyNumberFormat="1" applyFont="1" applyBorder="1" applyAlignment="1">
      <alignment horizontal="center" vertical="center"/>
    </xf>
    <xf numFmtId="0" fontId="2" fillId="0" borderId="16" xfId="0" applyFont="1" applyBorder="1" applyAlignment="1">
      <alignment vertical="center"/>
    </xf>
    <xf numFmtId="3" fontId="50" fillId="0" borderId="16" xfId="0" applyNumberFormat="1" applyFont="1" applyBorder="1"/>
    <xf numFmtId="0" fontId="50" fillId="0" borderId="16" xfId="0" applyFont="1" applyBorder="1"/>
    <xf numFmtId="9" fontId="3" fillId="0" borderId="0" xfId="0" applyNumberFormat="1" applyFont="1" applyAlignment="1">
      <alignment horizontal="center"/>
    </xf>
    <xf numFmtId="169" fontId="3" fillId="0" borderId="0" xfId="0" applyNumberFormat="1" applyFont="1" applyAlignment="1">
      <alignment horizontal="center"/>
    </xf>
    <xf numFmtId="9" fontId="0" fillId="0" borderId="0" xfId="0" applyNumberFormat="1"/>
    <xf numFmtId="165" fontId="2" fillId="15" borderId="1" xfId="0" applyNumberFormat="1" applyFont="1" applyFill="1" applyBorder="1" applyAlignment="1">
      <alignment horizontal="center" vertical="center"/>
    </xf>
    <xf numFmtId="3" fontId="52" fillId="0" borderId="16" xfId="0" applyNumberFormat="1" applyFont="1" applyBorder="1"/>
    <xf numFmtId="3" fontId="2" fillId="0" borderId="3" xfId="0" applyNumberFormat="1" applyFont="1" applyBorder="1" applyAlignment="1">
      <alignment horizontal="center" vertical="center"/>
    </xf>
    <xf numFmtId="0" fontId="2" fillId="0" borderId="5" xfId="0" applyFont="1" applyBorder="1" applyAlignment="1">
      <alignment horizontal="center" vertical="center"/>
    </xf>
    <xf numFmtId="9" fontId="31" fillId="0" borderId="0" xfId="0" applyNumberFormat="1" applyFont="1"/>
    <xf numFmtId="2" fontId="3" fillId="0" borderId="0" xfId="0" applyNumberFormat="1" applyFont="1"/>
    <xf numFmtId="165" fontId="11" fillId="0" borderId="1" xfId="0" applyNumberFormat="1" applyFont="1" applyBorder="1" applyAlignment="1">
      <alignment horizontal="center" vertical="center"/>
    </xf>
    <xf numFmtId="9" fontId="11" fillId="0" borderId="1" xfId="0" quotePrefix="1" applyNumberFormat="1" applyFont="1" applyBorder="1" applyAlignment="1">
      <alignment horizontal="center" vertical="center"/>
    </xf>
    <xf numFmtId="49" fontId="2" fillId="12" borderId="1" xfId="0" applyNumberFormat="1" applyFont="1" applyFill="1" applyBorder="1" applyAlignment="1">
      <alignment horizontal="left" vertical="center"/>
    </xf>
    <xf numFmtId="3" fontId="11" fillId="12" borderId="1" xfId="0" applyNumberFormat="1" applyFont="1" applyFill="1" applyBorder="1" applyAlignment="1">
      <alignment horizontal="center" vertical="center" wrapText="1"/>
    </xf>
    <xf numFmtId="3" fontId="5" fillId="6" borderId="3" xfId="0" applyNumberFormat="1" applyFont="1" applyFill="1" applyBorder="1" applyAlignment="1">
      <alignment horizontal="center" vertical="center" wrapText="1"/>
    </xf>
    <xf numFmtId="9" fontId="5" fillId="6" borderId="17" xfId="0" applyNumberFormat="1" applyFont="1" applyFill="1" applyBorder="1" applyAlignment="1">
      <alignment horizontal="center" vertical="center" wrapText="1"/>
    </xf>
    <xf numFmtId="0" fontId="11" fillId="12" borderId="1" xfId="0" applyFont="1" applyFill="1" applyBorder="1" applyAlignment="1">
      <alignment horizontal="center" vertical="center" wrapText="1"/>
    </xf>
    <xf numFmtId="3" fontId="5" fillId="6" borderId="1" xfId="0" applyNumberFormat="1" applyFont="1" applyFill="1" applyBorder="1" applyAlignment="1">
      <alignment horizontal="center" vertical="center" wrapText="1"/>
    </xf>
    <xf numFmtId="9" fontId="5" fillId="6" borderId="1" xfId="0" applyNumberFormat="1" applyFont="1" applyFill="1" applyBorder="1" applyAlignment="1">
      <alignment horizontal="center" vertical="center" wrapText="1"/>
    </xf>
    <xf numFmtId="3" fontId="5" fillId="12" borderId="1" xfId="0" applyNumberFormat="1" applyFont="1" applyFill="1" applyBorder="1" applyAlignment="1">
      <alignment horizontal="center" vertical="center" wrapText="1"/>
    </xf>
    <xf numFmtId="9" fontId="11" fillId="12" borderId="1" xfId="0" applyNumberFormat="1" applyFont="1" applyFill="1" applyBorder="1" applyAlignment="1">
      <alignment horizontal="center" vertical="center" wrapText="1"/>
    </xf>
    <xf numFmtId="9" fontId="11" fillId="12" borderId="1" xfId="0" quotePrefix="1" applyNumberFormat="1" applyFont="1" applyFill="1" applyBorder="1" applyAlignment="1">
      <alignment horizontal="center" vertical="center" wrapText="1"/>
    </xf>
    <xf numFmtId="0" fontId="5" fillId="0" borderId="1" xfId="0" applyFont="1" applyBorder="1" applyAlignment="1">
      <alignment horizontal="center" vertical="center"/>
    </xf>
    <xf numFmtId="0" fontId="11" fillId="0" borderId="1" xfId="0" applyFont="1" applyBorder="1" applyAlignment="1">
      <alignment horizontal="center" vertical="center" wrapText="1"/>
    </xf>
    <xf numFmtId="9" fontId="5" fillId="0" borderId="1" xfId="0" applyNumberFormat="1" applyFont="1" applyBorder="1" applyAlignment="1">
      <alignment horizontal="center" vertical="center"/>
    </xf>
    <xf numFmtId="0" fontId="21" fillId="0" borderId="13" xfId="2" applyBorder="1" applyAlignment="1">
      <alignment vertical="top" wrapText="1"/>
    </xf>
    <xf numFmtId="0" fontId="21" fillId="0" borderId="0" xfId="2" applyAlignment="1">
      <alignment vertical="top" wrapText="1"/>
    </xf>
    <xf numFmtId="0" fontId="8" fillId="13" borderId="1" xfId="0" applyFont="1" applyFill="1" applyBorder="1" applyAlignment="1">
      <alignment horizontal="center" wrapText="1"/>
    </xf>
    <xf numFmtId="0" fontId="2" fillId="0" borderId="1" xfId="0" quotePrefix="1" applyFont="1" applyBorder="1" applyAlignment="1">
      <alignment vertical="center"/>
    </xf>
    <xf numFmtId="3" fontId="6" fillId="0" borderId="1" xfId="0" applyNumberFormat="1" applyFont="1" applyBorder="1" applyAlignment="1">
      <alignment vertical="center"/>
    </xf>
    <xf numFmtId="0" fontId="5" fillId="0" borderId="3" xfId="0" applyFont="1" applyBorder="1" applyAlignment="1">
      <alignment vertical="center" wrapText="1"/>
    </xf>
    <xf numFmtId="3" fontId="5" fillId="0" borderId="5" xfId="0" applyNumberFormat="1" applyFont="1" applyBorder="1" applyAlignment="1">
      <alignment horizontal="center" vertical="center"/>
    </xf>
    <xf numFmtId="0" fontId="53" fillId="0" borderId="0" xfId="0" applyFont="1"/>
    <xf numFmtId="49" fontId="2" fillId="0" borderId="1" xfId="0" applyNumberFormat="1" applyFont="1" applyBorder="1" applyAlignment="1">
      <alignment horizontal="center" vertical="center"/>
    </xf>
    <xf numFmtId="0" fontId="34" fillId="0" borderId="0" xfId="0" applyFont="1"/>
    <xf numFmtId="0" fontId="37" fillId="3" borderId="5" xfId="0" applyFont="1" applyFill="1" applyBorder="1" applyAlignment="1">
      <alignment horizontal="center" vertical="center"/>
    </xf>
    <xf numFmtId="0" fontId="6" fillId="6" borderId="1" xfId="0" applyFont="1" applyFill="1" applyBorder="1" applyAlignment="1">
      <alignment horizontal="center" vertical="center"/>
    </xf>
    <xf numFmtId="0" fontId="2" fillId="0" borderId="1" xfId="0" applyFont="1" applyBorder="1" applyAlignment="1">
      <alignment horizontal="left"/>
    </xf>
    <xf numFmtId="0" fontId="6" fillId="0" borderId="3" xfId="0" applyFont="1" applyBorder="1"/>
    <xf numFmtId="0" fontId="11" fillId="0" borderId="1" xfId="0" applyFont="1" applyBorder="1"/>
    <xf numFmtId="0" fontId="56" fillId="3" borderId="3" xfId="0" applyFont="1" applyFill="1" applyBorder="1" applyAlignment="1">
      <alignment vertical="center"/>
    </xf>
    <xf numFmtId="0" fontId="0" fillId="0" borderId="0" xfId="0" applyFill="1"/>
    <xf numFmtId="49" fontId="56" fillId="0" borderId="1" xfId="0" applyNumberFormat="1" applyFont="1" applyBorder="1" applyAlignment="1">
      <alignment horizontal="center" vertical="center"/>
    </xf>
    <xf numFmtId="0" fontId="54" fillId="0" borderId="1" xfId="0" applyFont="1" applyBorder="1" applyAlignment="1">
      <alignment vertical="center" wrapText="1"/>
    </xf>
    <xf numFmtId="9" fontId="54" fillId="0" borderId="1" xfId="0" applyNumberFormat="1" applyFont="1" applyBorder="1" applyAlignment="1">
      <alignment horizontal="center" vertical="center"/>
    </xf>
    <xf numFmtId="9" fontId="56" fillId="5" borderId="1" xfId="0" applyNumberFormat="1" applyFont="1" applyFill="1" applyBorder="1" applyAlignment="1">
      <alignment horizontal="center" vertical="center"/>
    </xf>
    <xf numFmtId="0" fontId="0" fillId="0" borderId="0" xfId="0" applyBorder="1"/>
    <xf numFmtId="0" fontId="2" fillId="0" borderId="16" xfId="0" applyFont="1" applyBorder="1" applyAlignment="1">
      <alignment vertical="center" wrapText="1"/>
    </xf>
    <xf numFmtId="164" fontId="2" fillId="0" borderId="16" xfId="0" applyNumberFormat="1" applyFont="1" applyBorder="1" applyAlignment="1">
      <alignment horizontal="center" vertical="center"/>
    </xf>
    <xf numFmtId="9" fontId="6" fillId="5" borderId="16" xfId="0" applyNumberFormat="1" applyFont="1" applyFill="1" applyBorder="1" applyAlignment="1">
      <alignment horizontal="center" vertical="center"/>
    </xf>
    <xf numFmtId="0" fontId="2" fillId="0" borderId="16" xfId="0" quotePrefix="1" applyFont="1" applyBorder="1" applyAlignment="1">
      <alignment horizontal="center" vertical="center"/>
    </xf>
    <xf numFmtId="0" fontId="2" fillId="0" borderId="6" xfId="0" applyFont="1" applyBorder="1" applyAlignment="1">
      <alignment vertical="center" wrapText="1"/>
    </xf>
    <xf numFmtId="9" fontId="2" fillId="0" borderId="6" xfId="0" applyNumberFormat="1" applyFont="1" applyBorder="1" applyAlignment="1">
      <alignment horizontal="center" vertical="center"/>
    </xf>
    <xf numFmtId="9" fontId="6" fillId="5" borderId="6" xfId="0" applyNumberFormat="1" applyFont="1" applyFill="1" applyBorder="1" applyAlignment="1">
      <alignment horizontal="center" vertical="center"/>
    </xf>
    <xf numFmtId="0" fontId="2" fillId="0" borderId="6" xfId="0" quotePrefix="1" applyFont="1" applyBorder="1" applyAlignment="1">
      <alignment horizontal="center" vertical="center"/>
    </xf>
    <xf numFmtId="0" fontId="54" fillId="0" borderId="16" xfId="0" applyFont="1" applyBorder="1" applyAlignment="1">
      <alignment vertical="center"/>
    </xf>
    <xf numFmtId="3" fontId="6" fillId="5" borderId="16" xfId="0" applyNumberFormat="1" applyFont="1" applyFill="1" applyBorder="1" applyAlignment="1">
      <alignment horizontal="center" vertical="center"/>
    </xf>
    <xf numFmtId="0" fontId="2" fillId="12" borderId="6" xfId="0" applyFont="1" applyFill="1" applyBorder="1" applyAlignment="1">
      <alignment vertical="center" wrapText="1"/>
    </xf>
    <xf numFmtId="164" fontId="2" fillId="0" borderId="1" xfId="0" quotePrefix="1" applyNumberFormat="1" applyFont="1" applyBorder="1" applyAlignment="1">
      <alignment horizontal="center" vertical="center"/>
    </xf>
    <xf numFmtId="0" fontId="54" fillId="0" borderId="0" xfId="0" applyFont="1" applyAlignment="1">
      <alignment wrapText="1"/>
    </xf>
    <xf numFmtId="1" fontId="2" fillId="0" borderId="1" xfId="0" quotePrefix="1" applyNumberFormat="1" applyFont="1" applyBorder="1" applyAlignment="1">
      <alignment horizontal="center" vertical="center"/>
    </xf>
    <xf numFmtId="0" fontId="6" fillId="0" borderId="0" xfId="0" applyFont="1" applyBorder="1" applyAlignment="1">
      <alignment horizontal="left" vertical="center"/>
    </xf>
    <xf numFmtId="0" fontId="6" fillId="0" borderId="0" xfId="0" applyFont="1" applyBorder="1" applyAlignment="1">
      <alignment vertical="center"/>
    </xf>
    <xf numFmtId="3" fontId="2" fillId="0" borderId="0" xfId="0" applyNumberFormat="1" applyFont="1" applyBorder="1" applyAlignment="1">
      <alignment horizontal="center" vertical="center" wrapText="1"/>
    </xf>
    <xf numFmtId="3" fontId="8" fillId="0" borderId="0" xfId="0" applyNumberFormat="1" applyFont="1" applyBorder="1" applyAlignment="1">
      <alignment horizontal="center" vertical="center" wrapText="1"/>
    </xf>
    <xf numFmtId="0" fontId="8" fillId="11" borderId="8" xfId="0" applyFont="1" applyFill="1" applyBorder="1" applyAlignment="1">
      <alignment vertical="center"/>
    </xf>
    <xf numFmtId="0" fontId="56" fillId="11" borderId="3" xfId="0" applyFont="1" applyFill="1" applyBorder="1" applyAlignment="1">
      <alignment vertical="center"/>
    </xf>
    <xf numFmtId="0" fontId="6" fillId="11" borderId="3" xfId="0" applyFont="1" applyFill="1" applyBorder="1" applyAlignment="1">
      <alignment vertical="center"/>
    </xf>
    <xf numFmtId="0" fontId="2" fillId="0" borderId="5" xfId="0" applyFont="1" applyBorder="1" applyAlignment="1">
      <alignment vertical="center"/>
    </xf>
    <xf numFmtId="0" fontId="2" fillId="12" borderId="16" xfId="0" applyFont="1" applyFill="1" applyBorder="1" applyAlignment="1">
      <alignment vertical="center" wrapText="1"/>
    </xf>
    <xf numFmtId="9" fontId="2" fillId="0" borderId="1" xfId="0" applyNumberFormat="1" applyFont="1" applyBorder="1"/>
    <xf numFmtId="49" fontId="54" fillId="0" borderId="1" xfId="0" applyNumberFormat="1" applyFont="1" applyBorder="1" applyAlignment="1">
      <alignment horizontal="center"/>
    </xf>
    <xf numFmtId="49" fontId="56" fillId="0" borderId="1" xfId="0" applyNumberFormat="1" applyFont="1" applyBorder="1" applyAlignment="1">
      <alignment horizontal="center"/>
    </xf>
    <xf numFmtId="0" fontId="3" fillId="0" borderId="16" xfId="0" applyFont="1" applyBorder="1" applyAlignment="1">
      <alignment horizontal="center" vertical="center" wrapText="1"/>
    </xf>
    <xf numFmtId="0" fontId="2" fillId="0" borderId="6" xfId="0" applyFont="1" applyBorder="1" applyAlignment="1">
      <alignment horizontal="center"/>
    </xf>
    <xf numFmtId="0" fontId="6" fillId="5" borderId="27" xfId="0" applyFont="1" applyFill="1" applyBorder="1" applyAlignment="1">
      <alignment wrapText="1"/>
    </xf>
    <xf numFmtId="0" fontId="6" fillId="5" borderId="25" xfId="0" applyFont="1" applyFill="1" applyBorder="1" applyAlignment="1">
      <alignment wrapText="1"/>
    </xf>
    <xf numFmtId="0" fontId="6" fillId="5" borderId="0" xfId="0" applyFont="1" applyFill="1" applyAlignment="1">
      <alignment wrapText="1"/>
    </xf>
    <xf numFmtId="0" fontId="6" fillId="5" borderId="6" xfId="0" applyFont="1" applyFill="1" applyBorder="1" applyAlignment="1">
      <alignment wrapText="1"/>
    </xf>
    <xf numFmtId="0" fontId="6" fillId="5" borderId="12" xfId="0" applyFont="1" applyFill="1" applyBorder="1" applyAlignment="1">
      <alignment wrapText="1"/>
    </xf>
    <xf numFmtId="0" fontId="2" fillId="6" borderId="16" xfId="0" applyFont="1" applyFill="1" applyBorder="1" applyAlignment="1">
      <alignment horizontal="center" vertical="center" wrapText="1"/>
    </xf>
    <xf numFmtId="3" fontId="43" fillId="0" borderId="27" xfId="0" applyNumberFormat="1" applyFont="1" applyBorder="1"/>
    <xf numFmtId="0" fontId="3" fillId="13" borderId="2" xfId="0" applyFont="1" applyFill="1" applyBorder="1"/>
    <xf numFmtId="0" fontId="6" fillId="13" borderId="2" xfId="0" applyFont="1" applyFill="1" applyBorder="1" applyAlignment="1">
      <alignment horizontal="center"/>
    </xf>
    <xf numFmtId="0" fontId="3" fillId="0" borderId="8" xfId="0" applyFont="1" applyBorder="1"/>
    <xf numFmtId="9" fontId="2" fillId="0" borderId="2" xfId="0" applyNumberFormat="1" applyFont="1" applyBorder="1" applyAlignment="1">
      <alignment horizontal="center" vertical="center"/>
    </xf>
    <xf numFmtId="9" fontId="2" fillId="0" borderId="8" xfId="0" applyNumberFormat="1" applyFont="1" applyBorder="1" applyAlignment="1">
      <alignment horizontal="center" vertical="center"/>
    </xf>
    <xf numFmtId="9" fontId="6" fillId="0" borderId="26" xfId="0" applyNumberFormat="1" applyFont="1" applyBorder="1" applyAlignment="1">
      <alignment horizontal="center" vertical="center"/>
    </xf>
    <xf numFmtId="0" fontId="3" fillId="0" borderId="6" xfId="0" applyFont="1" applyBorder="1"/>
    <xf numFmtId="3" fontId="2" fillId="0" borderId="6" xfId="0" applyNumberFormat="1" applyFont="1" applyBorder="1" applyAlignment="1">
      <alignment horizontal="center" vertical="center"/>
    </xf>
    <xf numFmtId="3" fontId="2" fillId="0" borderId="7" xfId="0" applyNumberFormat="1" applyFont="1" applyBorder="1" applyAlignment="1">
      <alignment horizontal="center" vertical="center"/>
    </xf>
    <xf numFmtId="3" fontId="6" fillId="0" borderId="27" xfId="0" applyNumberFormat="1" applyFont="1" applyBorder="1" applyAlignment="1">
      <alignment horizontal="center" vertical="center"/>
    </xf>
    <xf numFmtId="3" fontId="2" fillId="0" borderId="6" xfId="1" applyNumberFormat="1" applyFont="1" applyFill="1" applyBorder="1" applyAlignment="1">
      <alignment horizontal="center" vertical="center"/>
    </xf>
    <xf numFmtId="3" fontId="2" fillId="0" borderId="7" xfId="1" applyNumberFormat="1" applyFont="1" applyFill="1" applyBorder="1" applyAlignment="1">
      <alignment horizontal="center" vertical="center"/>
    </xf>
    <xf numFmtId="49" fontId="54" fillId="0" borderId="16" xfId="0" applyNumberFormat="1" applyFont="1" applyBorder="1" applyAlignment="1">
      <alignment horizontal="center" vertical="center"/>
    </xf>
    <xf numFmtId="0" fontId="2" fillId="0" borderId="16" xfId="0" applyFont="1" applyBorder="1" applyAlignment="1">
      <alignment horizontal="left" wrapText="1"/>
    </xf>
    <xf numFmtId="0" fontId="6" fillId="0" borderId="16" xfId="0" applyFont="1" applyBorder="1" applyAlignment="1">
      <alignment horizontal="left" wrapText="1"/>
    </xf>
    <xf numFmtId="49" fontId="8" fillId="0" borderId="1" xfId="0" applyNumberFormat="1" applyFont="1" applyBorder="1" applyAlignment="1">
      <alignment horizontal="center" vertical="center" wrapText="1"/>
    </xf>
    <xf numFmtId="164" fontId="8" fillId="0" borderId="1" xfId="0" quotePrefix="1" applyNumberFormat="1" applyFont="1" applyBorder="1" applyAlignment="1">
      <alignment horizontal="center" vertical="center" wrapText="1"/>
    </xf>
    <xf numFmtId="10" fontId="8" fillId="0" borderId="1" xfId="0" applyNumberFormat="1" applyFont="1" applyBorder="1" applyAlignment="1">
      <alignment horizontal="center" vertical="center"/>
    </xf>
    <xf numFmtId="0" fontId="3" fillId="0" borderId="7" xfId="0" applyFont="1" applyBorder="1"/>
    <xf numFmtId="49" fontId="54" fillId="0" borderId="6" xfId="0" applyNumberFormat="1" applyFont="1" applyBorder="1" applyAlignment="1">
      <alignment horizontal="center"/>
    </xf>
    <xf numFmtId="0" fontId="3" fillId="5" borderId="16" xfId="0" applyFont="1" applyFill="1" applyBorder="1" applyAlignment="1">
      <alignment horizontal="center" vertical="center" wrapText="1"/>
    </xf>
    <xf numFmtId="0" fontId="8" fillId="5" borderId="16" xfId="0" applyFont="1" applyFill="1" applyBorder="1" applyAlignment="1">
      <alignment horizontal="center" vertical="center" wrapText="1"/>
    </xf>
    <xf numFmtId="3" fontId="6" fillId="0" borderId="31" xfId="0" applyNumberFormat="1" applyFont="1" applyFill="1" applyBorder="1" applyAlignment="1">
      <alignment horizontal="center"/>
    </xf>
    <xf numFmtId="3" fontId="2" fillId="0" borderId="10" xfId="0" applyNumberFormat="1" applyFont="1" applyFill="1" applyBorder="1" applyAlignment="1">
      <alignment horizontal="center"/>
    </xf>
    <xf numFmtId="3" fontId="2" fillId="0" borderId="28" xfId="0" applyNumberFormat="1" applyFont="1" applyFill="1" applyBorder="1" applyAlignment="1">
      <alignment horizontal="center"/>
    </xf>
    <xf numFmtId="49" fontId="54" fillId="0" borderId="6" xfId="0" applyNumberFormat="1" applyFont="1" applyFill="1" applyBorder="1" applyAlignment="1">
      <alignment horizontal="center"/>
    </xf>
    <xf numFmtId="3" fontId="3" fillId="0" borderId="12" xfId="0" applyNumberFormat="1" applyFont="1" applyFill="1" applyBorder="1" applyAlignment="1">
      <alignment horizontal="center"/>
    </xf>
    <xf numFmtId="3" fontId="3" fillId="0" borderId="6" xfId="0" applyNumberFormat="1" applyFont="1" applyFill="1" applyBorder="1" applyAlignment="1">
      <alignment horizontal="center"/>
    </xf>
    <xf numFmtId="3" fontId="6" fillId="0" borderId="6" xfId="0" applyNumberFormat="1" applyFont="1" applyFill="1" applyBorder="1" applyAlignment="1">
      <alignment horizontal="center"/>
    </xf>
    <xf numFmtId="3" fontId="6" fillId="0" borderId="19" xfId="0" applyNumberFormat="1" applyFont="1" applyFill="1" applyBorder="1" applyAlignment="1">
      <alignment horizontal="center"/>
    </xf>
    <xf numFmtId="3" fontId="2" fillId="0" borderId="4" xfId="0" applyNumberFormat="1" applyFont="1" applyFill="1" applyBorder="1" applyAlignment="1">
      <alignment horizontal="center"/>
    </xf>
    <xf numFmtId="3" fontId="2" fillId="0" borderId="20" xfId="0" applyNumberFormat="1" applyFont="1" applyFill="1" applyBorder="1" applyAlignment="1">
      <alignment horizontal="center"/>
    </xf>
    <xf numFmtId="49" fontId="54" fillId="0" borderId="1" xfId="0" applyNumberFormat="1" applyFont="1" applyFill="1" applyBorder="1" applyAlignment="1">
      <alignment horizontal="center"/>
    </xf>
    <xf numFmtId="3" fontId="3" fillId="0" borderId="5" xfId="0" applyNumberFormat="1" applyFont="1" applyFill="1" applyBorder="1" applyAlignment="1">
      <alignment horizontal="center"/>
    </xf>
    <xf numFmtId="3" fontId="3" fillId="0" borderId="1" xfId="0" applyNumberFormat="1" applyFont="1" applyFill="1" applyBorder="1" applyAlignment="1">
      <alignment horizontal="center"/>
    </xf>
    <xf numFmtId="3" fontId="6" fillId="0" borderId="1" xfId="0" applyNumberFormat="1" applyFont="1" applyFill="1" applyBorder="1" applyAlignment="1">
      <alignment horizontal="center"/>
    </xf>
    <xf numFmtId="3" fontId="3" fillId="0" borderId="2" xfId="0" applyNumberFormat="1" applyFont="1" applyFill="1" applyBorder="1" applyAlignment="1">
      <alignment horizontal="center"/>
    </xf>
    <xf numFmtId="0" fontId="6" fillId="0" borderId="19" xfId="0" applyFont="1" applyFill="1" applyBorder="1" applyAlignment="1">
      <alignment horizontal="center" vertical="center" wrapText="1"/>
    </xf>
    <xf numFmtId="0" fontId="2" fillId="0" borderId="16" xfId="0" applyFont="1" applyFill="1" applyBorder="1" applyAlignment="1">
      <alignment horizontal="center" vertical="center" wrapText="1"/>
    </xf>
    <xf numFmtId="3" fontId="6" fillId="0" borderId="3" xfId="0" applyNumberFormat="1" applyFont="1" applyFill="1" applyBorder="1" applyAlignment="1">
      <alignment horizontal="center"/>
    </xf>
    <xf numFmtId="0" fontId="6" fillId="0" borderId="5" xfId="0" applyFont="1" applyFill="1" applyBorder="1" applyAlignment="1">
      <alignment horizontal="center"/>
    </xf>
    <xf numFmtId="3" fontId="6" fillId="0" borderId="19" xfId="0" applyNumberFormat="1" applyFont="1" applyFill="1" applyBorder="1" applyAlignment="1">
      <alignment horizontal="center" vertical="center" wrapText="1"/>
    </xf>
    <xf numFmtId="0" fontId="6" fillId="0" borderId="1" xfId="0" applyFont="1" applyFill="1" applyBorder="1" applyAlignment="1">
      <alignment horizontal="center"/>
    </xf>
    <xf numFmtId="3" fontId="2" fillId="0" borderId="19" xfId="0" applyNumberFormat="1" applyFont="1" applyFill="1" applyBorder="1" applyAlignment="1">
      <alignment horizontal="center"/>
    </xf>
    <xf numFmtId="3" fontId="3" fillId="0" borderId="4" xfId="0" applyNumberFormat="1" applyFont="1" applyFill="1" applyBorder="1" applyAlignment="1">
      <alignment horizontal="center"/>
    </xf>
    <xf numFmtId="3" fontId="3" fillId="0" borderId="21" xfId="0" applyNumberFormat="1" applyFont="1" applyFill="1" applyBorder="1" applyAlignment="1">
      <alignment horizontal="center"/>
    </xf>
    <xf numFmtId="0" fontId="3" fillId="5" borderId="2" xfId="0" applyFont="1" applyFill="1" applyBorder="1"/>
    <xf numFmtId="0" fontId="3" fillId="5" borderId="2" xfId="0" applyFont="1" applyFill="1" applyBorder="1" applyAlignment="1">
      <alignment horizontal="center"/>
    </xf>
    <xf numFmtId="3" fontId="6" fillId="0" borderId="6" xfId="0" applyNumberFormat="1" applyFont="1" applyFill="1" applyBorder="1" applyAlignment="1">
      <alignment horizontal="center" vertical="center"/>
    </xf>
    <xf numFmtId="3" fontId="6" fillId="0" borderId="1" xfId="0" applyNumberFormat="1" applyFont="1" applyFill="1" applyBorder="1" applyAlignment="1">
      <alignment horizontal="center" vertical="center"/>
    </xf>
    <xf numFmtId="0" fontId="19" fillId="3" borderId="24" xfId="0" applyFont="1" applyFill="1" applyBorder="1"/>
    <xf numFmtId="0" fontId="19" fillId="3" borderId="22" xfId="0" applyFont="1" applyFill="1" applyBorder="1"/>
    <xf numFmtId="0" fontId="19" fillId="3" borderId="23" xfId="0" applyFont="1" applyFill="1" applyBorder="1"/>
    <xf numFmtId="0" fontId="19" fillId="3" borderId="3" xfId="0" applyFont="1" applyFill="1" applyBorder="1"/>
    <xf numFmtId="0" fontId="27" fillId="3" borderId="4" xfId="0" applyFont="1" applyFill="1" applyBorder="1" applyAlignment="1">
      <alignment horizontal="center"/>
    </xf>
    <xf numFmtId="0" fontId="27" fillId="3" borderId="5" xfId="0" applyFont="1" applyFill="1" applyBorder="1" applyAlignment="1">
      <alignment horizontal="center"/>
    </xf>
    <xf numFmtId="3" fontId="6" fillId="0" borderId="2" xfId="0" applyNumberFormat="1" applyFont="1" applyFill="1" applyBorder="1" applyAlignment="1">
      <alignment horizontal="center" vertical="center"/>
    </xf>
    <xf numFmtId="49" fontId="56" fillId="0" borderId="1" xfId="0" applyNumberFormat="1" applyFont="1" applyFill="1" applyBorder="1" applyAlignment="1">
      <alignment horizontal="center"/>
    </xf>
    <xf numFmtId="0" fontId="6" fillId="5" borderId="2" xfId="0" applyFont="1" applyFill="1" applyBorder="1" applyAlignment="1">
      <alignment vertical="center"/>
    </xf>
    <xf numFmtId="0" fontId="6" fillId="5" borderId="2" xfId="0" applyFont="1" applyFill="1" applyBorder="1" applyAlignment="1">
      <alignment horizontal="center" vertical="center"/>
    </xf>
    <xf numFmtId="3" fontId="2" fillId="0" borderId="6" xfId="0" applyNumberFormat="1" applyFont="1" applyBorder="1" applyAlignment="1">
      <alignment horizontal="left" vertical="center"/>
    </xf>
    <xf numFmtId="0" fontId="27" fillId="3" borderId="24" xfId="0" applyFont="1" applyFill="1" applyBorder="1" applyAlignment="1">
      <alignment horizontal="left" vertical="center"/>
    </xf>
    <xf numFmtId="0" fontId="6" fillId="3" borderId="22" xfId="0" applyFont="1" applyFill="1" applyBorder="1" applyAlignment="1">
      <alignment horizontal="center" vertical="center"/>
    </xf>
    <xf numFmtId="0" fontId="6" fillId="3" borderId="23" xfId="0" applyFont="1" applyFill="1" applyBorder="1" applyAlignment="1">
      <alignment horizontal="center" vertical="center"/>
    </xf>
    <xf numFmtId="49" fontId="54" fillId="0" borderId="1" xfId="0" applyNumberFormat="1" applyFont="1" applyBorder="1" applyAlignment="1">
      <alignment horizontal="center" vertical="center"/>
    </xf>
    <xf numFmtId="3" fontId="46" fillId="0" borderId="0" xfId="0" applyNumberFormat="1" applyFont="1" applyAlignment="1">
      <alignment vertical="center"/>
    </xf>
    <xf numFmtId="49" fontId="56" fillId="0" borderId="1" xfId="0" applyNumberFormat="1" applyFont="1" applyFill="1" applyBorder="1" applyAlignment="1">
      <alignment horizontal="center" vertical="center"/>
    </xf>
    <xf numFmtId="0" fontId="8" fillId="8" borderId="16" xfId="0" applyFont="1" applyFill="1" applyBorder="1" applyAlignment="1">
      <alignment wrapText="1"/>
    </xf>
    <xf numFmtId="0" fontId="8" fillId="9" borderId="16" xfId="0" applyFont="1" applyFill="1" applyBorder="1" applyAlignment="1">
      <alignment wrapText="1"/>
    </xf>
    <xf numFmtId="0" fontId="8" fillId="5" borderId="15" xfId="0" applyFont="1" applyFill="1" applyBorder="1" applyAlignment="1">
      <alignment vertical="center" wrapText="1"/>
    </xf>
    <xf numFmtId="0" fontId="48" fillId="5" borderId="2" xfId="0" applyFont="1" applyFill="1" applyBorder="1" applyAlignment="1">
      <alignment vertical="center" wrapText="1"/>
    </xf>
    <xf numFmtId="0" fontId="8" fillId="8" borderId="6" xfId="0" applyFont="1" applyFill="1" applyBorder="1" applyAlignment="1">
      <alignment vertical="center" wrapText="1"/>
    </xf>
    <xf numFmtId="3" fontId="2" fillId="0" borderId="6" xfId="0" applyNumberFormat="1" applyFont="1" applyBorder="1" applyAlignment="1">
      <alignment horizontal="left" vertical="top" wrapText="1"/>
    </xf>
    <xf numFmtId="0" fontId="2" fillId="0" borderId="6" xfId="0" applyFont="1" applyBorder="1" applyAlignment="1">
      <alignment horizontal="left" vertical="top" wrapText="1"/>
    </xf>
    <xf numFmtId="9" fontId="2" fillId="0" borderId="6" xfId="0" applyNumberFormat="1" applyFont="1" applyBorder="1" applyAlignment="1">
      <alignment horizontal="left" vertical="top" wrapText="1"/>
    </xf>
    <xf numFmtId="0" fontId="8" fillId="3" borderId="24" xfId="0" applyFont="1" applyFill="1" applyBorder="1" applyAlignment="1">
      <alignment vertical="center"/>
    </xf>
    <xf numFmtId="0" fontId="6" fillId="3" borderId="22" xfId="0" applyFont="1" applyFill="1" applyBorder="1" applyAlignment="1">
      <alignment vertical="center"/>
    </xf>
    <xf numFmtId="0" fontId="6" fillId="3" borderId="23" xfId="0" applyFont="1" applyFill="1" applyBorder="1" applyAlignment="1">
      <alignment vertical="center"/>
    </xf>
    <xf numFmtId="0" fontId="8" fillId="5" borderId="15" xfId="0" applyFont="1" applyFill="1" applyBorder="1" applyAlignment="1">
      <alignment wrapText="1"/>
    </xf>
    <xf numFmtId="0" fontId="8" fillId="5" borderId="15" xfId="0" applyFont="1" applyFill="1" applyBorder="1"/>
    <xf numFmtId="0" fontId="4" fillId="7" borderId="0" xfId="0" applyFont="1" applyFill="1" applyAlignment="1">
      <alignment horizontal="left" vertical="center" wrapText="1"/>
    </xf>
    <xf numFmtId="0" fontId="8" fillId="5" borderId="1" xfId="0" applyFont="1" applyFill="1" applyBorder="1" applyAlignment="1">
      <alignment horizontal="left" vertical="center" wrapText="1"/>
    </xf>
    <xf numFmtId="9" fontId="2" fillId="0" borderId="1" xfId="0" applyNumberFormat="1" applyFont="1" applyBorder="1" applyAlignment="1">
      <alignment horizontal="left" vertical="center" wrapText="1"/>
    </xf>
    <xf numFmtId="9" fontId="11" fillId="0" borderId="1" xfId="0" applyNumberFormat="1" applyFont="1" applyBorder="1" applyAlignment="1">
      <alignment horizontal="left" vertical="center" wrapText="1"/>
    </xf>
    <xf numFmtId="9" fontId="3" fillId="0" borderId="1" xfId="0" applyNumberFormat="1" applyFont="1" applyBorder="1" applyAlignment="1">
      <alignment horizontal="left" vertical="center" wrapText="1"/>
    </xf>
    <xf numFmtId="0" fontId="3" fillId="0" borderId="0" xfId="0" applyFont="1" applyAlignment="1">
      <alignment horizontal="left" vertical="center" wrapText="1"/>
    </xf>
    <xf numFmtId="9" fontId="2" fillId="0" borderId="1" xfId="0" quotePrefix="1" applyNumberFormat="1" applyFont="1" applyBorder="1" applyAlignment="1">
      <alignment horizontal="left" vertical="center" wrapText="1"/>
    </xf>
    <xf numFmtId="0" fontId="2" fillId="11" borderId="4" xfId="0" applyFont="1" applyFill="1" applyBorder="1" applyAlignment="1">
      <alignment vertical="center"/>
    </xf>
    <xf numFmtId="0" fontId="3" fillId="0" borderId="0" xfId="0" applyFont="1" applyBorder="1"/>
    <xf numFmtId="0" fontId="8" fillId="0" borderId="0" xfId="0" applyFont="1" applyFill="1" applyBorder="1"/>
    <xf numFmtId="0" fontId="19" fillId="0" borderId="0" xfId="0" applyFont="1" applyFill="1" applyBorder="1"/>
    <xf numFmtId="0" fontId="3" fillId="0" borderId="0" xfId="0" applyFont="1" applyFill="1" applyBorder="1"/>
    <xf numFmtId="0" fontId="3" fillId="0" borderId="0" xfId="0" applyFont="1" applyAlignment="1">
      <alignment vertical="top" wrapText="1"/>
    </xf>
    <xf numFmtId="0" fontId="68" fillId="0" borderId="0" xfId="0" applyFont="1"/>
    <xf numFmtId="2" fontId="2" fillId="0" borderId="1" xfId="0" applyNumberFormat="1" applyFont="1" applyBorder="1" applyAlignment="1">
      <alignment horizontal="center" vertical="center"/>
    </xf>
    <xf numFmtId="2" fontId="6" fillId="5" borderId="1" xfId="0" applyNumberFormat="1" applyFont="1" applyFill="1" applyBorder="1" applyAlignment="1">
      <alignment horizontal="center" vertical="center"/>
    </xf>
    <xf numFmtId="164" fontId="2" fillId="0" borderId="4" xfId="0" quotePrefix="1" applyNumberFormat="1" applyFont="1" applyBorder="1" applyAlignment="1">
      <alignment horizontal="center" vertical="center" wrapText="1"/>
    </xf>
    <xf numFmtId="164" fontId="3" fillId="0" borderId="4" xfId="0" quotePrefix="1" applyNumberFormat="1" applyFont="1" applyBorder="1" applyAlignment="1">
      <alignment horizontal="center" vertical="center"/>
    </xf>
    <xf numFmtId="10" fontId="3" fillId="12" borderId="4" xfId="0" applyNumberFormat="1" applyFont="1" applyFill="1" applyBorder="1" applyAlignment="1">
      <alignment horizontal="center" vertical="center"/>
    </xf>
    <xf numFmtId="164" fontId="2" fillId="0" borderId="0" xfId="0" quotePrefix="1" applyNumberFormat="1" applyFont="1" applyAlignment="1">
      <alignment horizontal="center" vertical="center" wrapText="1"/>
    </xf>
    <xf numFmtId="164" fontId="6" fillId="0" borderId="4" xfId="0" quotePrefix="1" applyNumberFormat="1" applyFont="1" applyBorder="1" applyAlignment="1">
      <alignment horizontal="center" vertical="center" wrapText="1"/>
    </xf>
    <xf numFmtId="164" fontId="6" fillId="0" borderId="0" xfId="0" quotePrefix="1" applyNumberFormat="1" applyFont="1" applyAlignment="1">
      <alignment horizontal="center" vertical="center" wrapText="1"/>
    </xf>
    <xf numFmtId="0" fontId="2" fillId="12" borderId="5" xfId="0" applyNumberFormat="1" applyFont="1" applyFill="1" applyBorder="1" applyAlignment="1">
      <alignment horizontal="center" vertical="center" wrapText="1"/>
    </xf>
    <xf numFmtId="3" fontId="2" fillId="0" borderId="7" xfId="0" applyNumberFormat="1" applyFont="1" applyBorder="1" applyAlignment="1">
      <alignment horizontal="center" vertical="center" wrapText="1"/>
    </xf>
    <xf numFmtId="9" fontId="2" fillId="0" borderId="12" xfId="0" quotePrefix="1" applyNumberFormat="1" applyFont="1" applyBorder="1" applyAlignment="1">
      <alignment horizontal="center" vertical="center" wrapText="1"/>
    </xf>
    <xf numFmtId="0" fontId="3" fillId="0" borderId="3" xfId="0" applyFont="1" applyBorder="1" applyAlignment="1">
      <alignment horizontal="center"/>
    </xf>
    <xf numFmtId="9" fontId="6" fillId="0" borderId="5" xfId="0" applyNumberFormat="1" applyFont="1" applyBorder="1" applyAlignment="1">
      <alignment horizontal="center" vertical="center" wrapText="1"/>
    </xf>
    <xf numFmtId="0" fontId="2" fillId="0" borderId="7" xfId="0" applyFont="1" applyBorder="1" applyAlignment="1">
      <alignment horizontal="center" vertical="center" wrapText="1"/>
    </xf>
    <xf numFmtId="10" fontId="6" fillId="0" borderId="12" xfId="0" applyNumberFormat="1" applyFont="1" applyBorder="1" applyAlignment="1">
      <alignment horizontal="center" vertical="center" wrapText="1"/>
    </xf>
    <xf numFmtId="10" fontId="6" fillId="0" borderId="12" xfId="0" quotePrefix="1" applyNumberFormat="1" applyFont="1" applyBorder="1" applyAlignment="1">
      <alignment horizontal="center" vertical="center" wrapText="1"/>
    </xf>
    <xf numFmtId="0" fontId="54" fillId="12" borderId="1" xfId="0" applyFont="1" applyFill="1" applyBorder="1" applyAlignment="1">
      <alignment vertical="center" wrapText="1"/>
    </xf>
    <xf numFmtId="0" fontId="3" fillId="0" borderId="0" xfId="0" applyFont="1" applyAlignment="1">
      <alignment horizontal="left" wrapText="1"/>
    </xf>
    <xf numFmtId="0" fontId="3" fillId="0" borderId="0" xfId="0" applyFont="1" applyAlignment="1">
      <alignment wrapText="1"/>
    </xf>
    <xf numFmtId="0" fontId="6" fillId="0" borderId="3" xfId="0" applyFont="1" applyBorder="1" applyAlignment="1">
      <alignment vertical="center"/>
    </xf>
    <xf numFmtId="0" fontId="6" fillId="0" borderId="4" xfId="0" applyFont="1" applyBorder="1" applyAlignment="1">
      <alignment vertical="center"/>
    </xf>
    <xf numFmtId="0" fontId="6" fillId="0" borderId="5" xfId="0" applyFont="1" applyBorder="1" applyAlignment="1">
      <alignment vertical="center"/>
    </xf>
    <xf numFmtId="0" fontId="6" fillId="0" borderId="8" xfId="0" applyFont="1" applyBorder="1" applyAlignment="1">
      <alignment vertical="center"/>
    </xf>
    <xf numFmtId="0" fontId="2" fillId="0" borderId="1" xfId="0" applyFont="1" applyBorder="1" applyAlignment="1">
      <alignment horizontal="left" vertical="center" wrapText="1"/>
    </xf>
    <xf numFmtId="0" fontId="6" fillId="5" borderId="3" xfId="0" applyFont="1" applyFill="1" applyBorder="1" applyAlignment="1">
      <alignment horizontal="left" vertical="center" wrapText="1"/>
    </xf>
    <xf numFmtId="0" fontId="6" fillId="0" borderId="0" xfId="0" applyFont="1" applyAlignment="1">
      <alignment horizontal="left" vertical="center"/>
    </xf>
    <xf numFmtId="0" fontId="3" fillId="0" borderId="3" xfId="0" applyFont="1" applyBorder="1" applyAlignment="1">
      <alignment vertical="center" wrapText="1"/>
    </xf>
    <xf numFmtId="0" fontId="3" fillId="0" borderId="4" xfId="0" applyFont="1" applyBorder="1" applyAlignment="1">
      <alignment vertical="center" wrapText="1"/>
    </xf>
    <xf numFmtId="0" fontId="3" fillId="0" borderId="0" xfId="0" applyFont="1" applyAlignment="1">
      <alignment horizontal="left" vertical="top" wrapText="1"/>
    </xf>
    <xf numFmtId="0" fontId="8" fillId="0" borderId="1" xfId="0" applyFont="1" applyBorder="1" applyAlignment="1">
      <alignment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4" fillId="6" borderId="4" xfId="0" applyFont="1" applyFill="1" applyBorder="1" applyAlignment="1">
      <alignment horizontal="center" vertical="center" wrapText="1"/>
    </xf>
    <xf numFmtId="0" fontId="2" fillId="0" borderId="1" xfId="0" applyFont="1" applyBorder="1" applyAlignment="1">
      <alignment vertical="center"/>
    </xf>
    <xf numFmtId="0" fontId="2" fillId="0" borderId="2" xfId="0" applyFont="1" applyBorder="1" applyAlignment="1">
      <alignment vertical="center"/>
    </xf>
    <xf numFmtId="0" fontId="3" fillId="0" borderId="1" xfId="0" applyFont="1" applyBorder="1" applyAlignment="1">
      <alignment horizontal="left" wrapText="1"/>
    </xf>
    <xf numFmtId="3" fontId="2" fillId="0" borderId="3" xfId="0" applyNumberFormat="1" applyFont="1" applyBorder="1" applyAlignment="1">
      <alignment horizontal="center" vertical="center" wrapText="1"/>
    </xf>
    <xf numFmtId="3" fontId="2" fillId="0" borderId="4" xfId="0" applyNumberFormat="1" applyFont="1" applyBorder="1" applyAlignment="1">
      <alignment horizontal="center" vertical="center" wrapText="1"/>
    </xf>
    <xf numFmtId="3" fontId="2" fillId="0" borderId="5" xfId="0" applyNumberFormat="1" applyFont="1" applyBorder="1" applyAlignment="1">
      <alignment horizontal="center" vertical="center" wrapText="1"/>
    </xf>
    <xf numFmtId="0" fontId="6" fillId="5" borderId="4" xfId="0" applyFont="1" applyFill="1" applyBorder="1" applyAlignment="1">
      <alignment horizontal="center" vertical="center" wrapText="1"/>
    </xf>
    <xf numFmtId="0" fontId="8" fillId="5" borderId="1" xfId="0" applyFont="1" applyFill="1" applyBorder="1" applyAlignment="1">
      <alignment horizontal="center" vertical="center"/>
    </xf>
    <xf numFmtId="0" fontId="11" fillId="0" borderId="2" xfId="0" applyFont="1" applyBorder="1" applyAlignment="1">
      <alignment horizontal="left" vertical="center" wrapText="1"/>
    </xf>
    <xf numFmtId="0" fontId="11" fillId="0" borderId="1" xfId="0" applyFont="1" applyBorder="1" applyAlignment="1">
      <alignment horizontal="center" vertical="center"/>
    </xf>
    <xf numFmtId="0" fontId="6" fillId="3" borderId="3" xfId="0" applyFont="1" applyFill="1" applyBorder="1" applyAlignment="1">
      <alignment horizontal="left" vertical="center"/>
    </xf>
    <xf numFmtId="0" fontId="6" fillId="3" borderId="4" xfId="0" applyFont="1" applyFill="1" applyBorder="1" applyAlignment="1">
      <alignment horizontal="left" vertical="center"/>
    </xf>
    <xf numFmtId="0" fontId="2" fillId="0" borderId="0" xfId="0" applyFont="1" applyAlignment="1">
      <alignment horizontal="left" vertical="top" wrapText="1"/>
    </xf>
    <xf numFmtId="0" fontId="4" fillId="0" borderId="0" xfId="0" applyFont="1" applyFill="1" applyAlignment="1">
      <alignment horizontal="center"/>
    </xf>
    <xf numFmtId="0" fontId="3" fillId="0" borderId="0" xfId="0" applyFont="1" applyFill="1" applyAlignment="1">
      <alignment horizontal="center"/>
    </xf>
    <xf numFmtId="0" fontId="68" fillId="3" borderId="0" xfId="0" applyFont="1" applyFill="1" applyAlignment="1">
      <alignment horizontal="center" vertical="center"/>
    </xf>
    <xf numFmtId="0" fontId="11" fillId="0" borderId="0" xfId="0" applyFont="1" applyAlignment="1">
      <alignment horizontal="left" wrapText="1"/>
    </xf>
    <xf numFmtId="0" fontId="6" fillId="0" borderId="16" xfId="0" applyFont="1" applyBorder="1" applyAlignment="1">
      <alignment vertical="center"/>
    </xf>
    <xf numFmtId="0" fontId="6" fillId="0" borderId="3" xfId="0" applyFont="1" applyBorder="1" applyAlignment="1">
      <alignment vertical="center"/>
    </xf>
    <xf numFmtId="0" fontId="6" fillId="0" borderId="4" xfId="0" applyFont="1" applyBorder="1" applyAlignment="1">
      <alignment vertical="center"/>
    </xf>
    <xf numFmtId="0" fontId="6" fillId="0" borderId="5" xfId="0" applyFont="1" applyBorder="1" applyAlignment="1">
      <alignment vertical="center"/>
    </xf>
    <xf numFmtId="0" fontId="6" fillId="0" borderId="8" xfId="0" applyFont="1" applyBorder="1" applyAlignment="1">
      <alignment vertical="center"/>
    </xf>
    <xf numFmtId="0" fontId="6" fillId="0" borderId="9" xfId="0" applyFont="1" applyBorder="1" applyAlignment="1">
      <alignment vertical="center"/>
    </xf>
    <xf numFmtId="0" fontId="6" fillId="0" borderId="11" xfId="0" applyFont="1" applyBorder="1" applyAlignment="1">
      <alignment vertical="center"/>
    </xf>
    <xf numFmtId="0" fontId="54"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1" xfId="0" applyFont="1" applyBorder="1" applyAlignment="1">
      <alignment horizontal="left" vertical="center" wrapText="1"/>
    </xf>
    <xf numFmtId="0" fontId="3" fillId="0" borderId="0" xfId="0" applyFont="1" applyAlignment="1">
      <alignment wrapText="1"/>
    </xf>
    <xf numFmtId="0" fontId="2" fillId="0" borderId="2" xfId="0" applyFont="1" applyBorder="1" applyAlignment="1">
      <alignment horizontal="left" vertical="center" wrapText="1"/>
    </xf>
    <xf numFmtId="0" fontId="11" fillId="0" borderId="0" xfId="0" applyFont="1" applyAlignment="1">
      <alignment wrapText="1"/>
    </xf>
    <xf numFmtId="0" fontId="63" fillId="0" borderId="0" xfId="0" applyFont="1" applyBorder="1" applyAlignment="1">
      <alignment vertical="center"/>
    </xf>
    <xf numFmtId="0" fontId="28" fillId="0" borderId="0" xfId="0" applyFont="1" applyBorder="1" applyAlignment="1">
      <alignment vertical="center"/>
    </xf>
    <xf numFmtId="0" fontId="3" fillId="0" borderId="0" xfId="0" applyFont="1" applyAlignment="1">
      <alignment horizontal="left" wrapText="1"/>
    </xf>
    <xf numFmtId="0" fontId="69" fillId="12" borderId="16" xfId="0" applyFont="1" applyFill="1" applyBorder="1" applyAlignment="1">
      <alignment vertical="center"/>
    </xf>
    <xf numFmtId="0" fontId="8" fillId="12" borderId="16" xfId="0" applyFont="1" applyFill="1" applyBorder="1" applyAlignment="1">
      <alignment vertical="center"/>
    </xf>
    <xf numFmtId="0" fontId="59" fillId="2" borderId="16" xfId="0" applyFont="1" applyFill="1" applyBorder="1" applyAlignment="1">
      <alignment vertical="center"/>
    </xf>
    <xf numFmtId="0" fontId="4" fillId="2" borderId="16" xfId="0" applyFont="1" applyFill="1" applyBorder="1" applyAlignment="1">
      <alignment vertical="center"/>
    </xf>
    <xf numFmtId="0" fontId="6" fillId="5" borderId="3" xfId="0" applyFont="1" applyFill="1" applyBorder="1" applyAlignment="1">
      <alignment horizontal="left" vertical="center" wrapText="1"/>
    </xf>
    <xf numFmtId="0" fontId="6" fillId="5" borderId="4" xfId="0" applyFont="1" applyFill="1" applyBorder="1" applyAlignment="1">
      <alignment horizontal="left" vertical="center" wrapText="1"/>
    </xf>
    <xf numFmtId="0" fontId="6" fillId="5" borderId="5" xfId="0" applyFont="1" applyFill="1" applyBorder="1" applyAlignment="1">
      <alignment horizontal="left" vertical="center" wrapText="1"/>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4" borderId="3" xfId="0" applyFont="1" applyFill="1" applyBorder="1" applyAlignment="1">
      <alignment horizontal="left" vertical="center" wrapText="1"/>
    </xf>
    <xf numFmtId="0" fontId="4" fillId="4" borderId="4" xfId="0" applyFont="1" applyFill="1" applyBorder="1" applyAlignment="1">
      <alignment horizontal="left" vertical="center" wrapText="1"/>
    </xf>
    <xf numFmtId="0" fontId="4" fillId="4" borderId="5" xfId="0" applyFont="1" applyFill="1" applyBorder="1" applyAlignment="1">
      <alignment horizontal="left" vertical="center" wrapText="1"/>
    </xf>
    <xf numFmtId="0" fontId="11" fillId="0" borderId="1" xfId="0" applyFont="1" applyBorder="1" applyAlignment="1">
      <alignment horizontal="left" vertical="center" wrapText="1"/>
    </xf>
    <xf numFmtId="0" fontId="5" fillId="0" borderId="7" xfId="0" applyFont="1" applyBorder="1" applyAlignment="1">
      <alignment horizontal="left" vertical="center"/>
    </xf>
    <xf numFmtId="0" fontId="5" fillId="0" borderId="10" xfId="0" applyFont="1" applyBorder="1" applyAlignment="1">
      <alignment horizontal="left" vertical="center"/>
    </xf>
    <xf numFmtId="0" fontId="16" fillId="4" borderId="7"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6" fillId="0" borderId="13" xfId="0" applyFont="1" applyBorder="1" applyAlignment="1">
      <alignment horizontal="left" vertical="center"/>
    </xf>
    <xf numFmtId="0" fontId="6" fillId="0" borderId="0" xfId="0" applyFont="1" applyAlignment="1">
      <alignment horizontal="left" vertical="center"/>
    </xf>
    <xf numFmtId="0" fontId="5" fillId="0" borderId="1" xfId="0" applyFont="1" applyBorder="1" applyAlignment="1">
      <alignment horizontal="left" vertical="center"/>
    </xf>
    <xf numFmtId="0" fontId="53" fillId="0" borderId="0" xfId="0" applyFont="1" applyAlignment="1">
      <alignment vertical="top" wrapText="1"/>
    </xf>
    <xf numFmtId="0" fontId="53" fillId="0" borderId="0" xfId="0" applyFont="1" applyAlignment="1">
      <alignment horizontal="left" vertical="top" wrapText="1"/>
    </xf>
    <xf numFmtId="0" fontId="6" fillId="6" borderId="3" xfId="0" quotePrefix="1" applyFont="1" applyFill="1" applyBorder="1" applyAlignment="1">
      <alignment horizontal="center"/>
    </xf>
    <xf numFmtId="0" fontId="6" fillId="6" borderId="5" xfId="0" quotePrefix="1" applyFont="1" applyFill="1" applyBorder="1" applyAlignment="1">
      <alignment horizontal="center"/>
    </xf>
    <xf numFmtId="0" fontId="4" fillId="4" borderId="7" xfId="0" applyFont="1" applyFill="1" applyBorder="1" applyAlignment="1">
      <alignment horizontal="center"/>
    </xf>
    <xf numFmtId="0" fontId="4" fillId="4" borderId="10" xfId="0" applyFont="1" applyFill="1" applyBorder="1" applyAlignment="1">
      <alignment horizontal="center"/>
    </xf>
    <xf numFmtId="0" fontId="4" fillId="4" borderId="3" xfId="0" applyFont="1" applyFill="1" applyBorder="1" applyAlignment="1">
      <alignment horizontal="center"/>
    </xf>
    <xf numFmtId="0" fontId="4" fillId="4" borderId="4" xfId="0" applyFont="1" applyFill="1" applyBorder="1" applyAlignment="1">
      <alignment horizontal="center"/>
    </xf>
    <xf numFmtId="0" fontId="4" fillId="4" borderId="5" xfId="0" applyFont="1" applyFill="1" applyBorder="1" applyAlignment="1">
      <alignment horizontal="center"/>
    </xf>
    <xf numFmtId="0" fontId="6" fillId="5" borderId="9"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68" fillId="0" borderId="0" xfId="0" applyFont="1" applyAlignment="1">
      <alignment horizontal="left" wrapText="1"/>
    </xf>
    <xf numFmtId="0" fontId="68" fillId="0" borderId="0" xfId="0" applyFont="1" applyAlignment="1">
      <alignment horizontal="left"/>
    </xf>
    <xf numFmtId="0" fontId="4" fillId="4" borderId="7" xfId="0" applyFont="1" applyFill="1" applyBorder="1" applyAlignment="1">
      <alignment horizontal="center" vertical="center" wrapText="1"/>
    </xf>
    <xf numFmtId="0" fontId="6" fillId="5" borderId="3" xfId="0" applyFont="1" applyFill="1" applyBorder="1" applyAlignment="1">
      <alignment horizontal="center"/>
    </xf>
    <xf numFmtId="0" fontId="6" fillId="5" borderId="5" xfId="0" applyFont="1" applyFill="1" applyBorder="1" applyAlignment="1">
      <alignment horizontal="center"/>
    </xf>
    <xf numFmtId="0" fontId="8" fillId="5" borderId="8" xfId="0" applyFont="1" applyFill="1" applyBorder="1" applyAlignment="1"/>
    <xf numFmtId="0" fontId="8" fillId="5" borderId="9" xfId="0" applyFont="1" applyFill="1" applyBorder="1" applyAlignment="1"/>
    <xf numFmtId="0" fontId="8" fillId="5" borderId="11" xfId="0" applyFont="1" applyFill="1" applyBorder="1" applyAlignment="1"/>
    <xf numFmtId="0" fontId="3" fillId="0" borderId="3" xfId="0" applyFont="1" applyBorder="1" applyAlignment="1">
      <alignment vertical="center" wrapText="1"/>
    </xf>
    <xf numFmtId="0" fontId="3" fillId="0" borderId="4" xfId="0" applyFont="1" applyBorder="1" applyAlignment="1">
      <alignment vertical="center" wrapText="1"/>
    </xf>
    <xf numFmtId="0" fontId="3" fillId="0" borderId="5" xfId="0" applyFont="1" applyBorder="1" applyAlignment="1">
      <alignment vertical="center" wrapText="1"/>
    </xf>
    <xf numFmtId="0" fontId="3" fillId="0" borderId="3" xfId="0" applyFont="1" applyBorder="1" applyAlignment="1">
      <alignment vertical="center"/>
    </xf>
    <xf numFmtId="0" fontId="3" fillId="0" borderId="4" xfId="0" applyFont="1" applyBorder="1" applyAlignment="1">
      <alignment vertical="center"/>
    </xf>
    <xf numFmtId="0" fontId="3" fillId="0" borderId="5" xfId="0" applyFont="1" applyBorder="1" applyAlignment="1">
      <alignment vertical="center"/>
    </xf>
    <xf numFmtId="0" fontId="6" fillId="6" borderId="3" xfId="0" quotePrefix="1" applyFont="1" applyFill="1" applyBorder="1" applyAlignment="1">
      <alignment horizontal="center" vertical="center"/>
    </xf>
    <xf numFmtId="0" fontId="6" fillId="6" borderId="5" xfId="0" quotePrefix="1" applyFont="1" applyFill="1" applyBorder="1" applyAlignment="1">
      <alignment horizontal="center" vertical="center"/>
    </xf>
    <xf numFmtId="0" fontId="6" fillId="5" borderId="3" xfId="0" applyFont="1" applyFill="1" applyBorder="1" applyAlignment="1">
      <alignment horizontal="center" vertical="center"/>
    </xf>
    <xf numFmtId="0" fontId="6" fillId="5" borderId="5" xfId="0" applyFont="1" applyFill="1" applyBorder="1" applyAlignment="1">
      <alignment horizontal="center" vertical="center"/>
    </xf>
    <xf numFmtId="0" fontId="4" fillId="7" borderId="3" xfId="0" applyFont="1" applyFill="1" applyBorder="1" applyAlignment="1">
      <alignment horizontal="center" wrapText="1"/>
    </xf>
    <xf numFmtId="0" fontId="4" fillId="7" borderId="4" xfId="0" applyFont="1" applyFill="1" applyBorder="1" applyAlignment="1">
      <alignment horizontal="center" wrapText="1"/>
    </xf>
    <xf numFmtId="0" fontId="4" fillId="7" borderId="5" xfId="0" applyFont="1" applyFill="1" applyBorder="1" applyAlignment="1">
      <alignment horizontal="center" wrapText="1"/>
    </xf>
    <xf numFmtId="0" fontId="3" fillId="0" borderId="1" xfId="0" applyFont="1" applyBorder="1" applyAlignment="1">
      <alignment horizontal="left" vertical="center" wrapText="1"/>
    </xf>
    <xf numFmtId="0" fontId="2" fillId="0" borderId="0" xfId="0" applyFont="1" applyAlignment="1">
      <alignment horizontal="left" wrapText="1"/>
    </xf>
    <xf numFmtId="0" fontId="32" fillId="0" borderId="0" xfId="0" applyFont="1" applyAlignment="1">
      <alignment horizontal="left" wrapText="1"/>
    </xf>
    <xf numFmtId="0" fontId="3" fillId="0" borderId="1" xfId="0" applyFont="1" applyBorder="1" applyAlignment="1">
      <alignment vertical="center" wrapText="1"/>
    </xf>
    <xf numFmtId="0" fontId="3" fillId="0" borderId="4" xfId="0" applyFont="1" applyBorder="1" applyAlignment="1">
      <alignment horizontal="left" wrapText="1"/>
    </xf>
    <xf numFmtId="0" fontId="3" fillId="0" borderId="5" xfId="0" applyFont="1" applyBorder="1" applyAlignment="1">
      <alignment horizontal="left" wrapText="1"/>
    </xf>
    <xf numFmtId="0" fontId="8" fillId="0" borderId="3" xfId="0" applyFont="1" applyBorder="1" applyAlignment="1">
      <alignment vertical="center" wrapText="1"/>
    </xf>
    <xf numFmtId="0" fontId="8" fillId="0" borderId="4" xfId="0" applyFont="1" applyBorder="1" applyAlignment="1">
      <alignment vertical="center" wrapText="1"/>
    </xf>
    <xf numFmtId="0" fontId="3" fillId="0" borderId="1" xfId="0" applyFont="1" applyBorder="1" applyAlignment="1">
      <alignment horizontal="left" wrapText="1"/>
    </xf>
    <xf numFmtId="0" fontId="59" fillId="7" borderId="7" xfId="0" applyFont="1" applyFill="1" applyBorder="1" applyAlignment="1">
      <alignment horizontal="center" vertical="center"/>
    </xf>
    <xf numFmtId="0" fontId="16" fillId="7" borderId="10" xfId="0" applyFont="1" applyFill="1" applyBorder="1" applyAlignment="1">
      <alignment horizontal="center" vertical="center"/>
    </xf>
    <xf numFmtId="0" fontId="4" fillId="6" borderId="4" xfId="0" applyFont="1" applyFill="1" applyBorder="1" applyAlignment="1">
      <alignment horizontal="center" vertical="center" wrapText="1"/>
    </xf>
    <xf numFmtId="0" fontId="4" fillId="6" borderId="35" xfId="0" applyFont="1" applyFill="1" applyBorder="1" applyAlignment="1">
      <alignment horizontal="center" vertical="center" wrapText="1"/>
    </xf>
    <xf numFmtId="0" fontId="4" fillId="6" borderId="4" xfId="0" applyFont="1" applyFill="1" applyBorder="1" applyAlignment="1">
      <alignment horizontal="center" vertical="center"/>
    </xf>
    <xf numFmtId="0" fontId="4" fillId="6" borderId="35" xfId="0" applyFont="1" applyFill="1" applyBorder="1" applyAlignment="1">
      <alignment horizontal="center" vertical="center"/>
    </xf>
    <xf numFmtId="0" fontId="16" fillId="16" borderId="26" xfId="0" applyFont="1" applyFill="1" applyBorder="1" applyAlignment="1">
      <alignment horizontal="center" vertical="center" wrapText="1"/>
    </xf>
    <xf numFmtId="0" fontId="4" fillId="13" borderId="13" xfId="0" applyFont="1" applyFill="1" applyBorder="1" applyAlignment="1">
      <alignment horizontal="center" vertical="center" wrapText="1"/>
    </xf>
    <xf numFmtId="0" fontId="4" fillId="13" borderId="0" xfId="0" applyFont="1" applyFill="1" applyAlignment="1">
      <alignment horizontal="center" vertical="center" wrapText="1"/>
    </xf>
    <xf numFmtId="0" fontId="4" fillId="13" borderId="0" xfId="0" applyFont="1" applyFill="1" applyBorder="1" applyAlignment="1">
      <alignment horizontal="center" vertical="center" wrapText="1"/>
    </xf>
    <xf numFmtId="0" fontId="4" fillId="13" borderId="25" xfId="0" applyFont="1" applyFill="1" applyBorder="1" applyAlignment="1">
      <alignment horizontal="center" vertical="center" wrapText="1"/>
    </xf>
    <xf numFmtId="0" fontId="16" fillId="7" borderId="3"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4" fillId="7" borderId="2" xfId="0" applyFont="1" applyFill="1" applyBorder="1" applyAlignment="1">
      <alignment horizontal="center" wrapText="1"/>
    </xf>
    <xf numFmtId="0" fontId="4" fillId="7" borderId="1" xfId="0" applyFont="1" applyFill="1" applyBorder="1" applyAlignment="1">
      <alignment horizont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16" fillId="7" borderId="7" xfId="0" applyFont="1" applyFill="1" applyBorder="1" applyAlignment="1">
      <alignment horizontal="center"/>
    </xf>
    <xf numFmtId="0" fontId="16" fillId="7" borderId="10" xfId="0" applyFont="1" applyFill="1" applyBorder="1" applyAlignment="1">
      <alignment horizontal="center"/>
    </xf>
    <xf numFmtId="0" fontId="56" fillId="5" borderId="16" xfId="0" applyFont="1" applyFill="1" applyBorder="1" applyAlignment="1">
      <alignment horizontal="left" vertical="center"/>
    </xf>
    <xf numFmtId="0" fontId="8" fillId="5" borderId="16" xfId="0" applyFont="1" applyFill="1" applyBorder="1" applyAlignment="1">
      <alignment horizontal="left" vertical="center"/>
    </xf>
    <xf numFmtId="0" fontId="4" fillId="7" borderId="13" xfId="0" applyFont="1" applyFill="1" applyBorder="1" applyAlignment="1">
      <alignment horizontal="center" wrapText="1"/>
    </xf>
    <xf numFmtId="0" fontId="4" fillId="7" borderId="0" xfId="0" applyFont="1" applyFill="1" applyAlignment="1">
      <alignment horizontal="center" wrapText="1"/>
    </xf>
    <xf numFmtId="0" fontId="4" fillId="7" borderId="25" xfId="0" applyFont="1" applyFill="1" applyBorder="1" applyAlignment="1">
      <alignment horizontal="center" wrapText="1"/>
    </xf>
    <xf numFmtId="0" fontId="4" fillId="6" borderId="16" xfId="0" applyFont="1" applyFill="1" applyBorder="1" applyAlignment="1">
      <alignment horizontal="center" vertical="center" wrapText="1"/>
    </xf>
    <xf numFmtId="0" fontId="6" fillId="6" borderId="23" xfId="0" applyFont="1" applyFill="1" applyBorder="1" applyAlignment="1">
      <alignment wrapText="1"/>
    </xf>
    <xf numFmtId="0" fontId="6" fillId="6" borderId="16" xfId="0" applyFont="1" applyFill="1" applyBorder="1" applyAlignment="1">
      <alignment wrapText="1"/>
    </xf>
    <xf numFmtId="0" fontId="16" fillId="16" borderId="16" xfId="0" applyFont="1" applyFill="1" applyBorder="1" applyAlignment="1">
      <alignment horizontal="center" vertical="center" wrapText="1"/>
    </xf>
    <xf numFmtId="0" fontId="6" fillId="6" borderId="9" xfId="0" applyFont="1" applyFill="1" applyBorder="1" applyAlignment="1">
      <alignment wrapText="1"/>
    </xf>
    <xf numFmtId="0" fontId="6" fillId="6" borderId="32" xfId="0" applyFont="1" applyFill="1" applyBorder="1" applyAlignment="1">
      <alignment wrapText="1"/>
    </xf>
    <xf numFmtId="0" fontId="59" fillId="4" borderId="7" xfId="0" applyFont="1" applyFill="1" applyBorder="1" applyAlignment="1">
      <alignment horizontal="left"/>
    </xf>
    <xf numFmtId="0" fontId="4" fillId="4" borderId="10" xfId="0" applyFont="1" applyFill="1" applyBorder="1" applyAlignment="1">
      <alignment horizontal="left"/>
    </xf>
    <xf numFmtId="0" fontId="2" fillId="0" borderId="2" xfId="0" applyFont="1" applyBorder="1" applyAlignment="1">
      <alignment horizontal="left" vertical="center"/>
    </xf>
    <xf numFmtId="0" fontId="2" fillId="0" borderId="6" xfId="0" applyFont="1" applyBorder="1" applyAlignment="1">
      <alignment horizontal="left" vertical="center"/>
    </xf>
    <xf numFmtId="0" fontId="2" fillId="0" borderId="1" xfId="0" applyFont="1" applyBorder="1" applyAlignment="1">
      <alignment vertical="center"/>
    </xf>
    <xf numFmtId="0" fontId="2" fillId="0" borderId="15" xfId="0" applyFont="1" applyBorder="1" applyAlignment="1">
      <alignment horizontal="left" vertical="center"/>
    </xf>
    <xf numFmtId="0" fontId="2" fillId="0" borderId="2" xfId="0" applyFont="1" applyBorder="1" applyAlignment="1">
      <alignment vertical="center"/>
    </xf>
    <xf numFmtId="0" fontId="2" fillId="0" borderId="6" xfId="0" applyFont="1" applyBorder="1" applyAlignment="1">
      <alignment vertical="center"/>
    </xf>
    <xf numFmtId="0" fontId="54" fillId="0" borderId="16" xfId="0" applyFont="1" applyBorder="1" applyAlignment="1">
      <alignment horizontal="left" vertical="center"/>
    </xf>
    <xf numFmtId="0" fontId="2" fillId="0" borderId="16" xfId="0" applyFont="1" applyBorder="1" applyAlignment="1">
      <alignment horizontal="left" vertical="center"/>
    </xf>
    <xf numFmtId="0" fontId="59" fillId="7" borderId="3" xfId="0" applyFont="1" applyFill="1" applyBorder="1" applyAlignment="1">
      <alignment horizontal="left" vertical="center" wrapText="1"/>
    </xf>
    <xf numFmtId="0" fontId="4" fillId="7" borderId="4" xfId="0" applyFont="1" applyFill="1" applyBorder="1" applyAlignment="1">
      <alignment horizontal="left" vertical="center" wrapText="1"/>
    </xf>
    <xf numFmtId="0" fontId="16" fillId="7" borderId="13" xfId="0" applyFont="1" applyFill="1" applyBorder="1" applyAlignment="1">
      <alignment horizontal="center" vertical="center" wrapText="1"/>
    </xf>
    <xf numFmtId="0" fontId="16" fillId="7" borderId="0" xfId="0" applyFont="1" applyFill="1" applyAlignment="1">
      <alignment horizontal="center" vertical="center" wrapText="1"/>
    </xf>
    <xf numFmtId="0" fontId="4" fillId="7" borderId="7" xfId="0" applyFont="1" applyFill="1" applyBorder="1" applyAlignment="1">
      <alignment horizontal="center" vertical="center" wrapText="1"/>
    </xf>
    <xf numFmtId="0" fontId="4" fillId="7" borderId="10" xfId="0" applyFont="1" applyFill="1" applyBorder="1" applyAlignment="1">
      <alignment horizontal="center" vertical="center" wrapText="1"/>
    </xf>
    <xf numFmtId="0" fontId="59" fillId="7" borderId="7" xfId="0" applyFont="1" applyFill="1" applyBorder="1" applyAlignment="1">
      <alignment horizontal="center" vertical="center" wrapText="1"/>
    </xf>
    <xf numFmtId="0" fontId="16" fillId="7" borderId="10" xfId="0" applyFont="1" applyFill="1" applyBorder="1" applyAlignment="1">
      <alignment horizontal="center" vertical="center" wrapText="1"/>
    </xf>
    <xf numFmtId="0" fontId="4" fillId="13" borderId="16" xfId="0" applyFont="1" applyFill="1" applyBorder="1" applyAlignment="1">
      <alignment horizontal="center" vertical="center"/>
    </xf>
    <xf numFmtId="0" fontId="16" fillId="7" borderId="16" xfId="0" applyFont="1" applyFill="1" applyBorder="1" applyAlignment="1">
      <alignment horizontal="center" vertical="center"/>
    </xf>
    <xf numFmtId="0" fontId="8" fillId="0" borderId="24" xfId="0" applyFont="1" applyBorder="1" applyAlignment="1">
      <alignment horizontal="left" vertical="center" wrapText="1"/>
    </xf>
    <xf numFmtId="0" fontId="8" fillId="0" borderId="23" xfId="0" applyFont="1" applyBorder="1" applyAlignment="1">
      <alignment horizontal="left" vertical="center" wrapText="1"/>
    </xf>
    <xf numFmtId="0" fontId="3" fillId="0" borderId="0" xfId="0" applyFont="1" applyAlignment="1">
      <alignment horizontal="left" vertical="top" wrapText="1"/>
    </xf>
    <xf numFmtId="0" fontId="8" fillId="0" borderId="1" xfId="0" applyFont="1" applyBorder="1" applyAlignment="1">
      <alignment vertical="center" wrapText="1"/>
    </xf>
    <xf numFmtId="0" fontId="4" fillId="14" borderId="33" xfId="0" applyFont="1" applyFill="1" applyBorder="1" applyAlignment="1">
      <alignment horizontal="center" vertical="center" wrapText="1"/>
    </xf>
    <xf numFmtId="0" fontId="4" fillId="14" borderId="32" xfId="0" applyFont="1" applyFill="1" applyBorder="1" applyAlignment="1">
      <alignment horizontal="center" vertical="center" wrapText="1"/>
    </xf>
    <xf numFmtId="0" fontId="4" fillId="5" borderId="16" xfId="0" applyFont="1" applyFill="1" applyBorder="1" applyAlignment="1">
      <alignment horizontal="center" vertical="center"/>
    </xf>
    <xf numFmtId="0" fontId="4" fillId="7" borderId="24" xfId="0" applyFont="1" applyFill="1" applyBorder="1" applyAlignment="1">
      <alignment horizontal="center"/>
    </xf>
    <xf numFmtId="0" fontId="4" fillId="7" borderId="22" xfId="0" applyFont="1" applyFill="1" applyBorder="1" applyAlignment="1">
      <alignment horizontal="center"/>
    </xf>
    <xf numFmtId="0" fontId="4" fillId="7" borderId="23" xfId="0" applyFont="1" applyFill="1" applyBorder="1" applyAlignment="1">
      <alignment horizontal="center"/>
    </xf>
    <xf numFmtId="0" fontId="4" fillId="7" borderId="10" xfId="0" applyFont="1" applyFill="1" applyBorder="1" applyAlignment="1">
      <alignment horizontal="center"/>
    </xf>
    <xf numFmtId="0" fontId="16" fillId="14" borderId="36" xfId="0" applyFont="1" applyFill="1" applyBorder="1" applyAlignment="1">
      <alignment horizontal="center" vertical="center" wrapText="1"/>
    </xf>
    <xf numFmtId="0" fontId="16" fillId="14" borderId="32" xfId="0" applyFont="1" applyFill="1" applyBorder="1" applyAlignment="1">
      <alignment horizontal="center" vertical="center" wrapText="1"/>
    </xf>
    <xf numFmtId="0" fontId="16" fillId="13" borderId="16" xfId="0" applyFont="1" applyFill="1" applyBorder="1" applyAlignment="1">
      <alignment horizontal="center" wrapText="1"/>
    </xf>
    <xf numFmtId="0" fontId="8" fillId="5" borderId="1" xfId="0" applyFont="1" applyFill="1" applyBorder="1" applyAlignment="1">
      <alignment horizontal="center" vertical="center"/>
    </xf>
    <xf numFmtId="0" fontId="11" fillId="0" borderId="1" xfId="0" applyFont="1" applyBorder="1" applyAlignment="1">
      <alignment horizontal="left" vertical="center"/>
    </xf>
    <xf numFmtId="0" fontId="11" fillId="0" borderId="2" xfId="0" applyFont="1" applyBorder="1" applyAlignment="1">
      <alignment horizontal="left" vertical="center" wrapText="1"/>
    </xf>
    <xf numFmtId="0" fontId="11" fillId="0" borderId="2" xfId="0" applyFont="1" applyBorder="1" applyAlignment="1">
      <alignment horizontal="left"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4" fillId="7" borderId="7" xfId="0" applyFont="1" applyFill="1" applyBorder="1" applyAlignment="1">
      <alignment horizontal="center" vertical="center"/>
    </xf>
    <xf numFmtId="0" fontId="4" fillId="7" borderId="10" xfId="0" applyFont="1" applyFill="1" applyBorder="1" applyAlignment="1">
      <alignment horizontal="center" vertical="center"/>
    </xf>
    <xf numFmtId="3" fontId="2" fillId="0" borderId="3" xfId="0" applyNumberFormat="1" applyFont="1" applyBorder="1" applyAlignment="1">
      <alignment horizontal="center" vertical="center" wrapText="1"/>
    </xf>
    <xf numFmtId="3" fontId="2" fillId="0" borderId="4" xfId="0" applyNumberFormat="1" applyFont="1" applyBorder="1" applyAlignment="1">
      <alignment horizontal="center" vertical="center" wrapText="1"/>
    </xf>
    <xf numFmtId="3" fontId="2" fillId="0" borderId="5" xfId="0" applyNumberFormat="1" applyFont="1" applyBorder="1" applyAlignment="1">
      <alignment horizontal="center" vertical="center" wrapText="1"/>
    </xf>
    <xf numFmtId="0" fontId="6" fillId="5" borderId="4"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58" fillId="7" borderId="10" xfId="0" applyFont="1" applyFill="1" applyBorder="1" applyAlignment="1">
      <alignment horizontal="center" vertical="center" wrapText="1"/>
    </xf>
    <xf numFmtId="0" fontId="2" fillId="0" borderId="0" xfId="0" applyFont="1" applyAlignment="1">
      <alignment wrapText="1"/>
    </xf>
    <xf numFmtId="0" fontId="4" fillId="7" borderId="7" xfId="0" applyFont="1" applyFill="1" applyBorder="1" applyAlignment="1">
      <alignment horizontal="center" vertical="top"/>
    </xf>
    <xf numFmtId="0" fontId="4" fillId="7" borderId="10" xfId="0" applyFont="1" applyFill="1" applyBorder="1" applyAlignment="1">
      <alignment horizontal="center" vertical="top"/>
    </xf>
    <xf numFmtId="0" fontId="4" fillId="4" borderId="7" xfId="0" applyFont="1" applyFill="1" applyBorder="1" applyAlignment="1">
      <alignment horizontal="center" wrapText="1"/>
    </xf>
    <xf numFmtId="0" fontId="4" fillId="4" borderId="10" xfId="0" applyFont="1" applyFill="1" applyBorder="1" applyAlignment="1">
      <alignment horizontal="center" wrapText="1"/>
    </xf>
    <xf numFmtId="0" fontId="2" fillId="5" borderId="1" xfId="0" applyFont="1" applyFill="1" applyBorder="1" applyAlignment="1">
      <alignment horizontal="left" vertical="top" wrapText="1"/>
    </xf>
    <xf numFmtId="0" fontId="8" fillId="5" borderId="1" xfId="0" applyFont="1" applyFill="1" applyBorder="1" applyAlignment="1">
      <alignment horizontal="center" wrapText="1"/>
    </xf>
    <xf numFmtId="0" fontId="4" fillId="7" borderId="13" xfId="0" applyFont="1" applyFill="1" applyBorder="1" applyAlignment="1">
      <alignment horizontal="center" vertical="top"/>
    </xf>
    <xf numFmtId="0" fontId="4" fillId="7" borderId="0" xfId="0" applyFont="1" applyFill="1" applyAlignment="1">
      <alignment horizontal="center" vertical="top"/>
    </xf>
    <xf numFmtId="6" fontId="11" fillId="0" borderId="1" xfId="0" applyNumberFormat="1" applyFont="1" applyBorder="1" applyAlignment="1">
      <alignment horizontal="center" vertical="center"/>
    </xf>
    <xf numFmtId="0" fontId="11" fillId="0" borderId="1" xfId="0" applyFont="1" applyBorder="1" applyAlignment="1">
      <alignment horizontal="center" vertical="center"/>
    </xf>
    <xf numFmtId="0" fontId="6" fillId="3" borderId="3" xfId="0" applyFont="1" applyFill="1" applyBorder="1" applyAlignment="1">
      <alignment horizontal="left" vertical="center"/>
    </xf>
    <xf numFmtId="0" fontId="6" fillId="3" borderId="4" xfId="0" applyFont="1" applyFill="1" applyBorder="1" applyAlignment="1">
      <alignment horizontal="left" vertical="center"/>
    </xf>
    <xf numFmtId="0" fontId="2" fillId="0" borderId="0" xfId="0" applyFont="1" applyAlignment="1">
      <alignment horizontal="left" vertical="top" wrapText="1"/>
    </xf>
    <xf numFmtId="0" fontId="54" fillId="0" borderId="1" xfId="0" applyFont="1" applyBorder="1" applyAlignment="1">
      <alignment vertical="center"/>
    </xf>
    <xf numFmtId="0" fontId="54" fillId="0" borderId="0" xfId="0" applyFont="1"/>
    <xf numFmtId="0" fontId="54" fillId="0" borderId="0" xfId="0" applyFont="1" applyAlignment="1">
      <alignment horizontal="left"/>
    </xf>
    <xf numFmtId="3" fontId="2" fillId="0" borderId="20" xfId="0" applyNumberFormat="1" applyFont="1" applyBorder="1" applyAlignment="1">
      <alignment horizontal="center" vertical="center" wrapText="1"/>
    </xf>
    <xf numFmtId="9" fontId="2" fillId="0" borderId="12" xfId="0" applyNumberFormat="1" applyFont="1" applyBorder="1" applyAlignment="1">
      <alignment horizontal="center" vertical="center" wrapText="1"/>
    </xf>
    <xf numFmtId="10" fontId="2" fillId="0" borderId="12" xfId="0" quotePrefix="1" applyNumberFormat="1" applyFont="1" applyBorder="1" applyAlignment="1">
      <alignment horizontal="center" vertical="center" wrapText="1"/>
    </xf>
  </cellXfs>
  <cellStyles count="29">
    <cellStyle name="Comma" xfId="1" builtinId="3"/>
    <cellStyle name="Followed Hyperlink" xfId="18" builtinId="9" hidden="1"/>
    <cellStyle name="Followed Hyperlink" xfId="24" builtinId="9" hidden="1"/>
    <cellStyle name="Followed Hyperlink" xfId="27" builtinId="9" hidden="1"/>
    <cellStyle name="Followed Hyperlink" xfId="8" builtinId="9" hidden="1"/>
    <cellStyle name="Followed Hyperlink" xfId="10" builtinId="9" hidden="1"/>
    <cellStyle name="Followed Hyperlink" xfId="9" builtinId="9" hidden="1"/>
    <cellStyle name="Followed Hyperlink" xfId="4" builtinId="9" hidden="1"/>
    <cellStyle name="Followed Hyperlink" xfId="12" builtinId="9" hidden="1"/>
    <cellStyle name="Followed Hyperlink" xfId="17" builtinId="9" hidden="1"/>
    <cellStyle name="Followed Hyperlink" xfId="21" builtinId="9" hidden="1"/>
    <cellStyle name="Followed Hyperlink" xfId="25" builtinId="9" hidden="1"/>
    <cellStyle name="Followed Hyperlink" xfId="7" builtinId="9" hidden="1"/>
    <cellStyle name="Followed Hyperlink" xfId="5" builtinId="9" hidden="1"/>
    <cellStyle name="Followed Hyperlink" xfId="3" builtinId="9" hidden="1"/>
    <cellStyle name="Followed Hyperlink" xfId="14" builtinId="9" hidden="1"/>
    <cellStyle name="Followed Hyperlink" xfId="20" builtinId="9" hidden="1"/>
    <cellStyle name="Followed Hyperlink" xfId="23" builtinId="9" hidden="1"/>
    <cellStyle name="Followed Hyperlink" xfId="22" builtinId="9" hidden="1"/>
    <cellStyle name="Followed Hyperlink" xfId="16" builtinId="9" hidden="1"/>
    <cellStyle name="Followed Hyperlink" xfId="15" builtinId="9" hidden="1"/>
    <cellStyle name="Followed Hyperlink" xfId="26" builtinId="9" hidden="1"/>
    <cellStyle name="Followed Hyperlink" xfId="13" builtinId="9" hidden="1"/>
    <cellStyle name="Followed Hyperlink" xfId="19" builtinId="9" hidden="1"/>
    <cellStyle name="Followed Hyperlink" xfId="11" builtinId="9" hidden="1"/>
    <cellStyle name="Followed Hyperlink" xfId="6" builtinId="9" hidden="1"/>
    <cellStyle name="Hyperlink" xfId="2" builtinId="8"/>
    <cellStyle name="Normal" xfId="0" builtinId="0"/>
    <cellStyle name="Percent" xfId="28" builtinId="5"/>
  </cellStyles>
  <dxfs count="0"/>
  <tableStyles count="0" defaultTableStyle="TableStyleMedium2" defaultPivotStyle="PivotStyleLight16"/>
  <colors>
    <mruColors>
      <color rgb="FFFF00FF"/>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30252-A15C-43DC-9512-66F54E257FEE}">
  <sheetPr>
    <tabColor rgb="FFFF00FF"/>
  </sheetPr>
  <dimension ref="A1:O84"/>
  <sheetViews>
    <sheetView zoomScale="110" zoomScaleNormal="110" zoomScalePageLayoutView="50" workbookViewId="0">
      <selection activeCell="A32" sqref="A32:H32"/>
    </sheetView>
  </sheetViews>
  <sheetFormatPr defaultColWidth="8.42578125" defaultRowHeight="14.25" customHeight="1"/>
  <cols>
    <col min="1" max="1" width="62.42578125" style="1" bestFit="1" customWidth="1"/>
    <col min="2" max="2" width="41.42578125" style="1" customWidth="1"/>
    <col min="3" max="3" width="12.42578125" style="1" customWidth="1"/>
    <col min="4" max="5" width="11.7109375" style="1" customWidth="1"/>
    <col min="6" max="7" width="19.42578125" style="1" customWidth="1"/>
    <col min="8" max="8" width="12.42578125" style="1" customWidth="1"/>
    <col min="9" max="9" width="9.42578125" customWidth="1"/>
    <col min="10" max="10" width="41.42578125" style="1" customWidth="1"/>
    <col min="11" max="11" width="5.140625" style="1" customWidth="1"/>
    <col min="12" max="14" width="12.42578125" style="1" customWidth="1"/>
    <col min="15" max="16384" width="8.42578125" style="1"/>
  </cols>
  <sheetData>
    <row r="1" spans="1:15" ht="15">
      <c r="A1" s="2" t="s">
        <v>0</v>
      </c>
      <c r="B1" s="95"/>
      <c r="C1" s="2"/>
      <c r="D1" s="2"/>
      <c r="E1" s="2"/>
      <c r="F1" s="2"/>
      <c r="G1" s="2"/>
      <c r="H1" s="2"/>
    </row>
    <row r="2" spans="1:15" ht="15">
      <c r="A2" s="25"/>
      <c r="B2" s="25"/>
      <c r="C2" s="3"/>
      <c r="D2" s="3"/>
      <c r="E2" s="3"/>
      <c r="F2" s="3"/>
      <c r="G2" s="3"/>
      <c r="H2" s="3"/>
    </row>
    <row r="3" spans="1:15" ht="28.5">
      <c r="A3" s="94" t="s">
        <v>1</v>
      </c>
      <c r="B3" s="96" t="s">
        <v>2</v>
      </c>
      <c r="C3" s="247" t="s">
        <v>3</v>
      </c>
      <c r="D3" s="247" t="s">
        <v>4</v>
      </c>
      <c r="E3" s="247" t="s">
        <v>5</v>
      </c>
      <c r="F3" s="39" t="s">
        <v>6</v>
      </c>
      <c r="G3" s="39" t="s">
        <v>7</v>
      </c>
      <c r="H3" s="39" t="s">
        <v>8</v>
      </c>
    </row>
    <row r="4" spans="1:15" ht="15">
      <c r="A4" s="650" t="s">
        <v>9</v>
      </c>
      <c r="B4" s="651"/>
      <c r="C4" s="651"/>
      <c r="D4" s="651"/>
      <c r="E4" s="651"/>
      <c r="F4" s="651"/>
      <c r="G4" s="651"/>
      <c r="H4" s="651"/>
    </row>
    <row r="5" spans="1:15" ht="15">
      <c r="A5" s="638" t="s">
        <v>10</v>
      </c>
      <c r="B5" s="639"/>
      <c r="C5" s="639"/>
      <c r="D5" s="639"/>
      <c r="E5" s="639"/>
      <c r="F5" s="639"/>
      <c r="G5" s="640"/>
    </row>
    <row r="6" spans="1:15" ht="35.25" customHeight="1">
      <c r="A6" s="648" t="s">
        <v>11</v>
      </c>
      <c r="B6" s="620" t="s">
        <v>12</v>
      </c>
      <c r="C6" s="14">
        <v>0.5</v>
      </c>
      <c r="D6" s="14">
        <v>0.51</v>
      </c>
      <c r="E6" s="355">
        <v>0.51</v>
      </c>
      <c r="F6" s="356" t="s">
        <v>13</v>
      </c>
      <c r="G6" s="356" t="s">
        <v>14</v>
      </c>
      <c r="H6" s="14">
        <v>0.5</v>
      </c>
      <c r="L6" s="582"/>
      <c r="M6" s="582"/>
      <c r="N6" s="582"/>
      <c r="O6" s="581"/>
    </row>
    <row r="7" spans="1:15" ht="35.25" customHeight="1">
      <c r="A7" s="645"/>
      <c r="B7" s="620" t="s">
        <v>15</v>
      </c>
      <c r="C7" s="14">
        <v>0.39</v>
      </c>
      <c r="D7" s="14">
        <v>0.44</v>
      </c>
      <c r="E7" s="355">
        <v>0.44</v>
      </c>
      <c r="F7" s="356" t="s">
        <v>16</v>
      </c>
      <c r="G7" s="356" t="s">
        <v>17</v>
      </c>
      <c r="H7" s="14">
        <v>0.45</v>
      </c>
      <c r="L7" s="582"/>
      <c r="M7" s="582"/>
      <c r="N7" s="582"/>
      <c r="O7" s="581"/>
    </row>
    <row r="8" spans="1:15" ht="15">
      <c r="A8" s="638" t="s">
        <v>18</v>
      </c>
      <c r="B8" s="639"/>
      <c r="C8" s="639"/>
      <c r="D8" s="639"/>
      <c r="E8" s="639"/>
      <c r="F8" s="639"/>
      <c r="G8" s="640"/>
    </row>
    <row r="9" spans="1:15" ht="35.25" customHeight="1">
      <c r="A9" s="40" t="s">
        <v>19</v>
      </c>
      <c r="B9" s="40" t="s">
        <v>20</v>
      </c>
      <c r="C9" s="14">
        <v>0.32</v>
      </c>
      <c r="D9" s="14">
        <v>0.39</v>
      </c>
      <c r="E9" s="355">
        <v>0.41</v>
      </c>
      <c r="F9" s="356" t="s">
        <v>21</v>
      </c>
      <c r="G9" s="356" t="s">
        <v>22</v>
      </c>
      <c r="H9" s="14">
        <v>0.35</v>
      </c>
      <c r="L9" s="582"/>
      <c r="M9" s="582"/>
      <c r="N9" s="582"/>
      <c r="O9" s="581"/>
    </row>
    <row r="10" spans="1:15" ht="35.25" customHeight="1">
      <c r="A10" s="40" t="s">
        <v>23</v>
      </c>
      <c r="B10" s="40" t="s">
        <v>24</v>
      </c>
      <c r="C10" s="14">
        <v>0.26</v>
      </c>
      <c r="D10" s="14">
        <v>0.33</v>
      </c>
      <c r="E10" s="355">
        <v>0.34</v>
      </c>
      <c r="F10" s="356" t="s">
        <v>25</v>
      </c>
      <c r="G10" s="356" t="s">
        <v>26</v>
      </c>
      <c r="H10" s="14">
        <v>0.3</v>
      </c>
      <c r="L10" s="583"/>
      <c r="M10" s="584"/>
      <c r="N10" s="584"/>
      <c r="O10" s="581"/>
    </row>
    <row r="11" spans="1:15" ht="15">
      <c r="A11" s="638" t="s">
        <v>27</v>
      </c>
      <c r="B11" s="639"/>
      <c r="C11" s="639"/>
      <c r="D11" s="639"/>
      <c r="E11" s="639"/>
      <c r="F11" s="639"/>
      <c r="G11" s="640"/>
    </row>
    <row r="12" spans="1:15" ht="38.25" customHeight="1">
      <c r="A12" s="648" t="s">
        <v>28</v>
      </c>
      <c r="B12" s="423" t="s">
        <v>29</v>
      </c>
      <c r="C12" s="12" t="s">
        <v>30</v>
      </c>
      <c r="D12" s="14">
        <v>0.79</v>
      </c>
      <c r="E12" s="355">
        <v>0.8</v>
      </c>
      <c r="F12" s="356" t="s">
        <v>31</v>
      </c>
      <c r="G12" s="12" t="s">
        <v>30</v>
      </c>
      <c r="H12" s="55" t="s">
        <v>32</v>
      </c>
    </row>
    <row r="13" spans="1:15" ht="38.25" customHeight="1">
      <c r="A13" s="645"/>
      <c r="B13" s="423" t="s">
        <v>33</v>
      </c>
      <c r="C13" s="12" t="s">
        <v>30</v>
      </c>
      <c r="D13" s="14">
        <v>0.77</v>
      </c>
      <c r="E13" s="355">
        <v>0.78</v>
      </c>
      <c r="F13" s="356" t="s">
        <v>31</v>
      </c>
      <c r="G13" s="12" t="s">
        <v>30</v>
      </c>
      <c r="H13" s="55" t="s">
        <v>32</v>
      </c>
    </row>
    <row r="14" spans="1:15" ht="15">
      <c r="A14" s="638" t="s">
        <v>34</v>
      </c>
      <c r="B14" s="639"/>
      <c r="C14" s="639"/>
      <c r="D14" s="639"/>
      <c r="E14" s="639"/>
      <c r="F14" s="639"/>
      <c r="G14" s="640"/>
    </row>
    <row r="15" spans="1:15" ht="35.25" customHeight="1">
      <c r="A15" s="40" t="s">
        <v>35</v>
      </c>
      <c r="B15" s="40" t="s">
        <v>36</v>
      </c>
      <c r="C15" s="12" t="s">
        <v>30</v>
      </c>
      <c r="D15" s="587" t="s">
        <v>37</v>
      </c>
      <c r="E15" s="588" t="s">
        <v>38</v>
      </c>
      <c r="F15" s="356" t="s">
        <v>39</v>
      </c>
      <c r="G15" s="12" t="s">
        <v>30</v>
      </c>
      <c r="H15" s="14" t="s">
        <v>40</v>
      </c>
    </row>
    <row r="16" spans="1:15" ht="15">
      <c r="A16" s="638" t="s">
        <v>41</v>
      </c>
      <c r="B16" s="639"/>
      <c r="C16" s="639"/>
      <c r="D16" s="639"/>
      <c r="E16" s="639"/>
      <c r="F16" s="639"/>
      <c r="G16" s="640"/>
    </row>
    <row r="17" spans="1:9" ht="38.25" customHeight="1">
      <c r="A17" s="40" t="s">
        <v>42</v>
      </c>
      <c r="B17" s="40" t="s">
        <v>43</v>
      </c>
      <c r="C17" s="14">
        <v>1</v>
      </c>
      <c r="D17" s="14">
        <v>1</v>
      </c>
      <c r="E17" s="355">
        <v>1</v>
      </c>
      <c r="F17" s="12" t="s">
        <v>30</v>
      </c>
      <c r="G17" s="12" t="s">
        <v>30</v>
      </c>
      <c r="H17" s="14">
        <v>1</v>
      </c>
    </row>
    <row r="18" spans="1:9" ht="15">
      <c r="A18" s="638" t="s">
        <v>44</v>
      </c>
      <c r="B18" s="639"/>
      <c r="C18" s="639"/>
      <c r="D18" s="639"/>
      <c r="E18" s="639"/>
      <c r="F18" s="639"/>
      <c r="G18" s="640"/>
    </row>
    <row r="19" spans="1:9" ht="35.25" customHeight="1">
      <c r="A19" s="40" t="s">
        <v>45</v>
      </c>
      <c r="B19" s="40" t="s">
        <v>46</v>
      </c>
      <c r="C19" s="23" t="s">
        <v>47</v>
      </c>
      <c r="D19" s="23" t="s">
        <v>48</v>
      </c>
      <c r="E19" s="364" t="s">
        <v>49</v>
      </c>
      <c r="F19" s="356" t="s">
        <v>50</v>
      </c>
      <c r="G19" s="356" t="s">
        <v>51</v>
      </c>
      <c r="H19" s="587" t="s">
        <v>52</v>
      </c>
    </row>
    <row r="20" spans="1:9" ht="15">
      <c r="A20" s="638" t="s">
        <v>53</v>
      </c>
      <c r="B20" s="639"/>
      <c r="C20" s="639"/>
      <c r="D20" s="639"/>
      <c r="E20" s="639"/>
      <c r="F20" s="639"/>
      <c r="G20" s="640"/>
    </row>
    <row r="21" spans="1:9" ht="35.25" customHeight="1">
      <c r="A21" s="40" t="s">
        <v>54</v>
      </c>
      <c r="B21" s="620" t="s">
        <v>55</v>
      </c>
      <c r="C21" s="23"/>
      <c r="D21" s="14">
        <v>0.45</v>
      </c>
      <c r="E21" s="355">
        <v>0.41</v>
      </c>
      <c r="F21" s="356" t="s">
        <v>56</v>
      </c>
      <c r="G21" s="359" t="s">
        <v>57</v>
      </c>
      <c r="H21" s="14">
        <v>1</v>
      </c>
    </row>
    <row r="22" spans="1:9" ht="15">
      <c r="A22" s="641" t="s">
        <v>58</v>
      </c>
      <c r="B22" s="642"/>
      <c r="C22" s="642"/>
      <c r="D22" s="642"/>
      <c r="E22" s="642"/>
      <c r="F22" s="642"/>
      <c r="G22" s="643"/>
    </row>
    <row r="23" spans="1:9" ht="35.25" customHeight="1">
      <c r="A23" s="466" t="s">
        <v>59</v>
      </c>
      <c r="B23" s="458" t="s">
        <v>60</v>
      </c>
      <c r="C23" s="407"/>
      <c r="D23" s="407" t="s">
        <v>61</v>
      </c>
      <c r="E23" s="467" t="s">
        <v>62</v>
      </c>
      <c r="F23" s="461" t="s">
        <v>63</v>
      </c>
      <c r="G23" s="12" t="s">
        <v>30</v>
      </c>
      <c r="H23" s="408" t="s">
        <v>64</v>
      </c>
    </row>
    <row r="24" spans="1:9" ht="15">
      <c r="A24" s="650" t="s">
        <v>65</v>
      </c>
      <c r="B24" s="651"/>
      <c r="C24" s="651"/>
      <c r="D24" s="651"/>
      <c r="E24" s="651"/>
      <c r="F24" s="651"/>
      <c r="G24" s="651"/>
      <c r="H24" s="651"/>
    </row>
    <row r="25" spans="1:9" ht="15">
      <c r="A25" s="637" t="s">
        <v>66</v>
      </c>
      <c r="B25" s="637"/>
      <c r="C25" s="637"/>
      <c r="D25" s="637"/>
      <c r="E25" s="637"/>
      <c r="F25" s="637"/>
      <c r="G25" s="637"/>
      <c r="H25" s="637"/>
    </row>
    <row r="26" spans="1:9" ht="35.25" customHeight="1">
      <c r="A26" s="468" t="s">
        <v>67</v>
      </c>
      <c r="B26" s="462" t="s">
        <v>68</v>
      </c>
      <c r="C26" s="463">
        <v>0.22</v>
      </c>
      <c r="D26" s="463">
        <v>0.47</v>
      </c>
      <c r="E26" s="464">
        <v>0.76</v>
      </c>
      <c r="F26" s="465" t="s">
        <v>69</v>
      </c>
      <c r="G26" s="465" t="s">
        <v>70</v>
      </c>
      <c r="H26" s="463">
        <v>1</v>
      </c>
    </row>
    <row r="27" spans="1:9" ht="15">
      <c r="A27" s="638" t="s">
        <v>71</v>
      </c>
      <c r="B27" s="639"/>
      <c r="C27" s="639"/>
      <c r="D27" s="639"/>
      <c r="E27" s="639"/>
      <c r="F27" s="639"/>
      <c r="G27" s="639"/>
      <c r="H27" s="640"/>
    </row>
    <row r="28" spans="1:9" ht="35.25" customHeight="1">
      <c r="A28" s="603" t="s">
        <v>72</v>
      </c>
      <c r="B28" s="40" t="s">
        <v>73</v>
      </c>
      <c r="C28" s="12" t="s">
        <v>30</v>
      </c>
      <c r="D28" s="14">
        <v>0.02</v>
      </c>
      <c r="E28" s="357">
        <v>0.23</v>
      </c>
      <c r="F28" s="356" t="s">
        <v>74</v>
      </c>
      <c r="G28" s="356" t="s">
        <v>75</v>
      </c>
      <c r="H28" s="55">
        <v>1</v>
      </c>
    </row>
    <row r="29" spans="1:9" ht="15">
      <c r="A29" s="641" t="s">
        <v>76</v>
      </c>
      <c r="B29" s="642"/>
      <c r="C29" s="642"/>
      <c r="D29" s="642"/>
      <c r="E29" s="642"/>
      <c r="F29" s="642"/>
      <c r="G29" s="642"/>
      <c r="H29" s="643"/>
    </row>
    <row r="30" spans="1:9" ht="35.25" customHeight="1">
      <c r="A30" s="480" t="s">
        <v>77</v>
      </c>
      <c r="B30" s="458" t="s">
        <v>78</v>
      </c>
      <c r="C30" s="459" t="s">
        <v>30</v>
      </c>
      <c r="D30" s="408">
        <v>0.22</v>
      </c>
      <c r="E30" s="460">
        <v>0.52</v>
      </c>
      <c r="F30" s="408" t="s">
        <v>79</v>
      </c>
      <c r="G30" s="461" t="s">
        <v>80</v>
      </c>
      <c r="H30" s="408">
        <v>1</v>
      </c>
    </row>
    <row r="31" spans="1:9" ht="15">
      <c r="A31" s="650" t="s">
        <v>81</v>
      </c>
      <c r="B31" s="651"/>
      <c r="C31" s="651"/>
      <c r="D31" s="651"/>
      <c r="E31" s="651"/>
      <c r="F31" s="651"/>
      <c r="G31" s="651"/>
      <c r="H31" s="651"/>
      <c r="I31" s="457"/>
    </row>
    <row r="32" spans="1:9" ht="15">
      <c r="A32" s="637" t="s">
        <v>82</v>
      </c>
      <c r="B32" s="637"/>
      <c r="C32" s="637"/>
      <c r="D32" s="637"/>
      <c r="E32" s="637"/>
      <c r="F32" s="637"/>
      <c r="G32" s="637"/>
      <c r="H32" s="637"/>
    </row>
    <row r="33" spans="1:8" ht="31.35" customHeight="1">
      <c r="A33" s="645" t="s">
        <v>83</v>
      </c>
      <c r="B33" s="462" t="s">
        <v>84</v>
      </c>
      <c r="C33" s="463">
        <v>0.94</v>
      </c>
      <c r="D33" s="463">
        <v>0.6</v>
      </c>
      <c r="E33" s="464">
        <v>0.7</v>
      </c>
      <c r="F33" s="465" t="s">
        <v>85</v>
      </c>
      <c r="G33" s="465" t="s">
        <v>86</v>
      </c>
      <c r="H33" s="463">
        <v>1</v>
      </c>
    </row>
    <row r="34" spans="1:8" ht="63" customHeight="1">
      <c r="A34" s="646"/>
      <c r="B34" s="40" t="s">
        <v>87</v>
      </c>
      <c r="C34" s="14">
        <v>0.66</v>
      </c>
      <c r="D34" s="14">
        <v>0.97</v>
      </c>
      <c r="E34" s="358">
        <v>0.999</v>
      </c>
      <c r="F34" s="356" t="s">
        <v>88</v>
      </c>
      <c r="G34" s="356" t="s">
        <v>89</v>
      </c>
      <c r="H34" s="14">
        <v>1</v>
      </c>
    </row>
    <row r="35" spans="1:8" ht="15">
      <c r="A35" s="52"/>
      <c r="B35" s="52"/>
      <c r="C35" s="97"/>
      <c r="D35" s="98"/>
      <c r="E35" s="98"/>
      <c r="F35" s="86"/>
      <c r="G35" s="86"/>
      <c r="H35" s="97"/>
    </row>
    <row r="36" spans="1:8" ht="28.5">
      <c r="A36" s="94" t="s">
        <v>90</v>
      </c>
      <c r="B36" s="96" t="s">
        <v>2</v>
      </c>
      <c r="C36" s="247" t="s">
        <v>3</v>
      </c>
      <c r="D36" s="247" t="s">
        <v>4</v>
      </c>
      <c r="E36" s="247" t="s">
        <v>5</v>
      </c>
      <c r="F36" s="39" t="s">
        <v>6</v>
      </c>
      <c r="G36" s="39" t="s">
        <v>7</v>
      </c>
      <c r="H36" s="39" t="s">
        <v>8</v>
      </c>
    </row>
    <row r="37" spans="1:8" ht="15">
      <c r="A37" s="638" t="s">
        <v>91</v>
      </c>
      <c r="B37" s="639"/>
      <c r="C37" s="639"/>
      <c r="D37" s="639"/>
      <c r="E37" s="639"/>
      <c r="F37" s="639"/>
      <c r="G37" s="639"/>
      <c r="H37" s="640"/>
    </row>
    <row r="38" spans="1:8" ht="42" customHeight="1">
      <c r="A38" s="644" t="s">
        <v>92</v>
      </c>
      <c r="B38" s="40" t="s">
        <v>93</v>
      </c>
      <c r="C38" s="23" t="s">
        <v>94</v>
      </c>
      <c r="D38" s="23" t="s">
        <v>95</v>
      </c>
      <c r="E38" s="364" t="s">
        <v>96</v>
      </c>
      <c r="F38" s="356" t="s">
        <v>97</v>
      </c>
      <c r="G38" s="356" t="s">
        <v>98</v>
      </c>
      <c r="H38" s="14">
        <v>-0.7</v>
      </c>
    </row>
    <row r="39" spans="1:8" ht="33.6" customHeight="1">
      <c r="A39" s="645"/>
      <c r="B39" s="40" t="s">
        <v>99</v>
      </c>
      <c r="C39" s="14">
        <v>0.48</v>
      </c>
      <c r="D39" s="455" t="s">
        <v>100</v>
      </c>
      <c r="E39" s="456" t="s">
        <v>101</v>
      </c>
      <c r="F39" s="356" t="s">
        <v>102</v>
      </c>
      <c r="G39" s="356" t="s">
        <v>103</v>
      </c>
      <c r="H39" s="14">
        <v>1</v>
      </c>
    </row>
    <row r="40" spans="1:8" ht="42" customHeight="1">
      <c r="A40" s="620" t="s">
        <v>104</v>
      </c>
      <c r="B40" s="40" t="s">
        <v>105</v>
      </c>
      <c r="C40" s="23" t="s">
        <v>106</v>
      </c>
      <c r="D40" s="23" t="s">
        <v>107</v>
      </c>
      <c r="E40" s="364" t="s">
        <v>108</v>
      </c>
      <c r="F40" s="469">
        <v>-3.9098896592001699E-2</v>
      </c>
      <c r="G40" s="359">
        <v>-0.18762334040125619</v>
      </c>
      <c r="H40" s="55">
        <v>0</v>
      </c>
    </row>
    <row r="41" spans="1:8" ht="28.5">
      <c r="A41" s="644" t="s">
        <v>109</v>
      </c>
      <c r="B41" s="40" t="s">
        <v>110</v>
      </c>
      <c r="C41" s="23" t="s">
        <v>111</v>
      </c>
      <c r="D41" s="23" t="s">
        <v>112</v>
      </c>
      <c r="E41" s="364" t="s">
        <v>113</v>
      </c>
      <c r="F41" s="356" t="s">
        <v>114</v>
      </c>
      <c r="G41" s="356" t="s">
        <v>115</v>
      </c>
      <c r="H41" s="23" t="s">
        <v>116</v>
      </c>
    </row>
    <row r="42" spans="1:8" ht="28.35" customHeight="1">
      <c r="A42" s="645"/>
      <c r="B42" s="40" t="s">
        <v>117</v>
      </c>
      <c r="C42" s="14">
        <v>0.31</v>
      </c>
      <c r="D42" s="14">
        <v>0.48</v>
      </c>
      <c r="E42" s="355">
        <v>0.45</v>
      </c>
      <c r="F42" s="356" t="s">
        <v>118</v>
      </c>
      <c r="G42" s="356" t="s">
        <v>119</v>
      </c>
      <c r="H42" s="14">
        <v>0.5</v>
      </c>
    </row>
    <row r="43" spans="1:8" ht="15">
      <c r="A43" s="638" t="s">
        <v>120</v>
      </c>
      <c r="B43" s="639"/>
      <c r="C43" s="639"/>
      <c r="D43" s="639"/>
      <c r="E43" s="639"/>
      <c r="F43" s="639"/>
      <c r="G43" s="639"/>
      <c r="H43" s="640"/>
    </row>
    <row r="44" spans="1:8" ht="42.75" customHeight="1">
      <c r="A44" s="454" t="s">
        <v>121</v>
      </c>
      <c r="B44" s="620" t="s">
        <v>122</v>
      </c>
      <c r="C44" s="415">
        <v>292.36</v>
      </c>
      <c r="D44" s="421">
        <v>269.39999999999998</v>
      </c>
      <c r="E44" s="363">
        <v>268.45999999999998</v>
      </c>
      <c r="F44" s="422" t="s">
        <v>123</v>
      </c>
      <c r="G44" s="361" t="s">
        <v>124</v>
      </c>
      <c r="H44" s="14">
        <v>-0.1</v>
      </c>
    </row>
    <row r="45" spans="1:8" ht="41.25" customHeight="1">
      <c r="A45" s="644" t="s">
        <v>125</v>
      </c>
      <c r="B45" s="40" t="s">
        <v>126</v>
      </c>
      <c r="C45" s="14">
        <v>0.96</v>
      </c>
      <c r="D45" s="14">
        <v>0.97</v>
      </c>
      <c r="E45" s="355">
        <v>0.98</v>
      </c>
      <c r="F45" s="361" t="s">
        <v>127</v>
      </c>
      <c r="G45" s="361" t="s">
        <v>128</v>
      </c>
      <c r="H45" s="14">
        <v>1</v>
      </c>
    </row>
    <row r="46" spans="1:8" ht="35.25" customHeight="1">
      <c r="A46" s="645"/>
      <c r="B46" s="40" t="s">
        <v>129</v>
      </c>
      <c r="C46" s="14">
        <v>0.68</v>
      </c>
      <c r="D46" s="14">
        <v>0.72</v>
      </c>
      <c r="E46" s="355">
        <v>0.75</v>
      </c>
      <c r="F46" s="356" t="s">
        <v>130</v>
      </c>
      <c r="G46" s="356" t="s">
        <v>131</v>
      </c>
      <c r="H46" s="14">
        <v>0.8</v>
      </c>
    </row>
    <row r="47" spans="1:8" ht="42.75" customHeight="1">
      <c r="A47" s="454" t="s">
        <v>132</v>
      </c>
      <c r="B47" s="40" t="s">
        <v>133</v>
      </c>
      <c r="C47" s="23" t="s">
        <v>134</v>
      </c>
      <c r="D47" s="444" t="s">
        <v>107</v>
      </c>
      <c r="E47" s="365" t="s">
        <v>135</v>
      </c>
      <c r="F47" s="356" t="s">
        <v>136</v>
      </c>
      <c r="G47" s="356" t="s">
        <v>137</v>
      </c>
      <c r="H47" s="248" t="s">
        <v>138</v>
      </c>
    </row>
    <row r="48" spans="1:8" ht="15">
      <c r="A48" s="606" t="s">
        <v>139</v>
      </c>
      <c r="B48" s="607"/>
      <c r="C48" s="607"/>
      <c r="D48" s="354"/>
      <c r="E48" s="360"/>
      <c r="F48" s="607"/>
      <c r="H48" s="608"/>
    </row>
    <row r="49" spans="1:8" ht="38.25" customHeight="1">
      <c r="A49" s="40" t="s">
        <v>140</v>
      </c>
      <c r="B49" s="40" t="s">
        <v>141</v>
      </c>
      <c r="C49" s="362">
        <v>84.36</v>
      </c>
      <c r="D49" s="362">
        <v>76.849999999999994</v>
      </c>
      <c r="E49" s="363">
        <v>76</v>
      </c>
      <c r="F49" s="469">
        <v>-1.0999999999999999E-2</v>
      </c>
      <c r="G49" s="359">
        <v>-0.1</v>
      </c>
      <c r="H49" s="14">
        <v>-0.25</v>
      </c>
    </row>
    <row r="50" spans="1:8" ht="38.25" customHeight="1">
      <c r="A50" s="620" t="s">
        <v>142</v>
      </c>
      <c r="B50" s="620" t="s">
        <v>143</v>
      </c>
      <c r="C50" s="248" t="s">
        <v>144</v>
      </c>
      <c r="D50" s="248" t="s">
        <v>145</v>
      </c>
      <c r="E50" s="18" t="s">
        <v>146</v>
      </c>
      <c r="F50" s="356" t="s">
        <v>147</v>
      </c>
      <c r="G50" s="356" t="s">
        <v>148</v>
      </c>
      <c r="H50" s="248" t="s">
        <v>149</v>
      </c>
    </row>
    <row r="51" spans="1:8" ht="15">
      <c r="A51" s="638" t="s">
        <v>150</v>
      </c>
      <c r="B51" s="639"/>
      <c r="C51" s="639"/>
      <c r="D51" s="639"/>
      <c r="E51" s="639"/>
      <c r="F51" s="639"/>
      <c r="G51" s="639"/>
      <c r="H51" s="640"/>
    </row>
    <row r="52" spans="1:8" ht="35.25" customHeight="1">
      <c r="A52" s="40" t="s">
        <v>151</v>
      </c>
      <c r="B52" s="40" t="s">
        <v>152</v>
      </c>
      <c r="C52" s="248">
        <v>0</v>
      </c>
      <c r="D52" s="249">
        <v>0</v>
      </c>
      <c r="E52" s="18">
        <v>2</v>
      </c>
      <c r="F52" s="471">
        <v>2</v>
      </c>
      <c r="G52" s="471">
        <v>2</v>
      </c>
      <c r="H52" s="248">
        <v>10</v>
      </c>
    </row>
    <row r="53" spans="1:8" ht="16.350000000000001" customHeight="1">
      <c r="A53" s="42"/>
      <c r="B53" s="42"/>
      <c r="C53" s="143"/>
      <c r="D53" s="143"/>
      <c r="E53" s="143"/>
      <c r="F53" s="11"/>
      <c r="G53" s="11"/>
      <c r="H53" s="143"/>
    </row>
    <row r="54" spans="1:8" ht="28.5">
      <c r="A54" s="94" t="s">
        <v>153</v>
      </c>
      <c r="B54" s="96" t="s">
        <v>2</v>
      </c>
      <c r="C54" s="247" t="s">
        <v>3</v>
      </c>
      <c r="D54" s="247" t="s">
        <v>4</v>
      </c>
      <c r="E54" s="247" t="s">
        <v>5</v>
      </c>
      <c r="F54" s="39" t="s">
        <v>6</v>
      </c>
      <c r="G54" s="39" t="s">
        <v>7</v>
      </c>
      <c r="H54" s="39" t="s">
        <v>8</v>
      </c>
    </row>
    <row r="55" spans="1:8" ht="15">
      <c r="A55" s="638" t="s">
        <v>154</v>
      </c>
      <c r="B55" s="639"/>
      <c r="C55" s="639"/>
      <c r="D55" s="639"/>
      <c r="E55" s="639"/>
      <c r="F55" s="639"/>
      <c r="G55" s="640"/>
    </row>
    <row r="56" spans="1:8" ht="41.1" customHeight="1">
      <c r="A56" s="40" t="s">
        <v>155</v>
      </c>
      <c r="B56" s="620" t="s">
        <v>156</v>
      </c>
      <c r="C56" s="459" t="s">
        <v>30</v>
      </c>
      <c r="D56" s="14">
        <v>0.5</v>
      </c>
      <c r="E56" s="355">
        <v>0.48</v>
      </c>
      <c r="F56" s="356" t="s">
        <v>157</v>
      </c>
      <c r="G56" s="459" t="s">
        <v>30</v>
      </c>
      <c r="H56" s="14">
        <v>0.5</v>
      </c>
    </row>
    <row r="57" spans="1:8" ht="15">
      <c r="A57" s="638" t="s">
        <v>158</v>
      </c>
      <c r="B57" s="639"/>
      <c r="C57" s="639"/>
      <c r="D57" s="639"/>
      <c r="E57" s="639"/>
      <c r="F57" s="639"/>
      <c r="G57" s="640"/>
    </row>
    <row r="58" spans="1:8" ht="35.25" customHeight="1">
      <c r="A58" s="40" t="s">
        <v>159</v>
      </c>
      <c r="B58" s="620" t="s">
        <v>36</v>
      </c>
      <c r="C58" s="459" t="s">
        <v>30</v>
      </c>
      <c r="D58" s="23" t="s">
        <v>160</v>
      </c>
      <c r="E58" s="364" t="s">
        <v>161</v>
      </c>
      <c r="F58" s="356" t="s">
        <v>162</v>
      </c>
      <c r="G58" s="459"/>
      <c r="H58" s="14" t="s">
        <v>163</v>
      </c>
    </row>
    <row r="59" spans="1:8" ht="15">
      <c r="A59" s="638" t="s">
        <v>164</v>
      </c>
      <c r="B59" s="639"/>
      <c r="C59" s="639"/>
      <c r="D59" s="639"/>
      <c r="E59" s="639"/>
      <c r="F59" s="639"/>
      <c r="G59" s="640"/>
    </row>
    <row r="60" spans="1:8" ht="38.25" customHeight="1">
      <c r="A60" s="40" t="s">
        <v>165</v>
      </c>
      <c r="B60" s="40" t="s">
        <v>166</v>
      </c>
      <c r="C60" s="14">
        <v>0.37</v>
      </c>
      <c r="D60" s="14">
        <v>0.35</v>
      </c>
      <c r="E60" s="355">
        <v>0.3</v>
      </c>
      <c r="F60" s="356" t="s">
        <v>167</v>
      </c>
      <c r="G60" s="356" t="s">
        <v>168</v>
      </c>
      <c r="H60" s="14">
        <v>0.35</v>
      </c>
    </row>
    <row r="61" spans="1:8" ht="15">
      <c r="A61" s="638" t="s">
        <v>169</v>
      </c>
      <c r="B61" s="639"/>
      <c r="C61" s="639"/>
      <c r="D61" s="639"/>
      <c r="E61" s="639"/>
      <c r="F61" s="639"/>
      <c r="G61" s="640"/>
    </row>
    <row r="62" spans="1:8" ht="35.25" customHeight="1">
      <c r="A62" s="40" t="s">
        <v>170</v>
      </c>
      <c r="B62" s="40" t="s">
        <v>171</v>
      </c>
      <c r="C62" s="12">
        <v>1.9E-2</v>
      </c>
      <c r="D62" s="12">
        <v>2.1999999999999999E-2</v>
      </c>
      <c r="E62" s="358">
        <v>2.1000000000000001E-2</v>
      </c>
      <c r="F62" s="356" t="s">
        <v>172</v>
      </c>
      <c r="G62" s="356" t="s">
        <v>173</v>
      </c>
      <c r="H62" s="12">
        <v>0.02</v>
      </c>
    </row>
    <row r="63" spans="1:8" ht="15">
      <c r="A63" s="636"/>
      <c r="B63" s="636"/>
      <c r="C63" s="636"/>
      <c r="D63" s="636"/>
      <c r="E63" s="636"/>
      <c r="F63" s="636"/>
      <c r="G63" s="636"/>
      <c r="H63" s="636"/>
    </row>
    <row r="64" spans="1:8" ht="15">
      <c r="A64" s="636" t="s">
        <v>174</v>
      </c>
      <c r="B64" s="636"/>
      <c r="C64" s="636"/>
      <c r="D64" s="636"/>
      <c r="E64" s="636"/>
      <c r="F64" s="636"/>
      <c r="G64" s="636"/>
      <c r="H64" s="636"/>
    </row>
    <row r="65" spans="1:8" ht="15" customHeight="1">
      <c r="A65" s="649" t="s">
        <v>175</v>
      </c>
      <c r="B65" s="649"/>
      <c r="C65" s="649"/>
      <c r="D65" s="649"/>
      <c r="E65" s="649"/>
      <c r="F65" s="649"/>
      <c r="G65" s="649"/>
      <c r="H65" s="649"/>
    </row>
    <row r="66" spans="1:8" ht="30.75" customHeight="1">
      <c r="A66" s="649" t="s">
        <v>176</v>
      </c>
      <c r="B66" s="649"/>
      <c r="C66" s="649"/>
      <c r="D66" s="649"/>
      <c r="E66" s="649"/>
      <c r="F66" s="649"/>
      <c r="G66" s="649"/>
      <c r="H66" s="649"/>
    </row>
    <row r="67" spans="1:8" ht="42.75" customHeight="1">
      <c r="A67" s="649" t="s">
        <v>177</v>
      </c>
      <c r="B67" s="649"/>
      <c r="C67" s="649"/>
      <c r="D67" s="649"/>
      <c r="E67" s="649"/>
      <c r="F67" s="649"/>
      <c r="G67" s="649"/>
      <c r="H67" s="649"/>
    </row>
    <row r="68" spans="1:8" ht="28.5" customHeight="1">
      <c r="A68" s="649" t="s">
        <v>178</v>
      </c>
      <c r="B68" s="649"/>
      <c r="C68" s="649"/>
      <c r="D68" s="649"/>
      <c r="E68" s="649"/>
      <c r="F68" s="649"/>
      <c r="G68" s="649"/>
      <c r="H68" s="649"/>
    </row>
    <row r="69" spans="1:8" ht="41.25" customHeight="1">
      <c r="A69" s="647" t="s">
        <v>179</v>
      </c>
      <c r="B69" s="647"/>
      <c r="C69" s="647"/>
      <c r="D69" s="647"/>
      <c r="E69" s="647"/>
      <c r="F69" s="647"/>
      <c r="G69" s="647"/>
      <c r="H69" s="647"/>
    </row>
    <row r="70" spans="1:8" ht="15">
      <c r="A70" s="647" t="s">
        <v>180</v>
      </c>
      <c r="B70" s="647"/>
      <c r="C70" s="647"/>
      <c r="D70" s="647"/>
      <c r="E70" s="647"/>
      <c r="F70" s="647"/>
      <c r="G70" s="647"/>
      <c r="H70" s="647"/>
    </row>
    <row r="71" spans="1:8" ht="15">
      <c r="A71" s="647" t="s">
        <v>181</v>
      </c>
      <c r="B71" s="647"/>
      <c r="C71" s="647"/>
      <c r="D71" s="647"/>
      <c r="E71" s="647"/>
      <c r="F71" s="647"/>
      <c r="G71" s="647"/>
      <c r="H71" s="647"/>
    </row>
    <row r="72" spans="1:8" ht="35.25" customHeight="1">
      <c r="A72" s="647" t="s">
        <v>182</v>
      </c>
      <c r="B72" s="647"/>
      <c r="C72" s="647"/>
      <c r="D72" s="647"/>
      <c r="E72" s="647"/>
      <c r="F72" s="647"/>
      <c r="G72" s="647"/>
      <c r="H72" s="647"/>
    </row>
    <row r="73" spans="1:8" ht="54" customHeight="1">
      <c r="A73" s="647" t="s">
        <v>183</v>
      </c>
      <c r="B73" s="647"/>
      <c r="C73" s="647"/>
      <c r="D73" s="647"/>
      <c r="E73" s="647"/>
      <c r="F73" s="647"/>
      <c r="G73" s="647"/>
      <c r="H73" s="647"/>
    </row>
    <row r="74" spans="1:8" ht="31.5" customHeight="1">
      <c r="A74" s="647" t="s">
        <v>184</v>
      </c>
      <c r="B74" s="647"/>
      <c r="C74" s="647"/>
      <c r="D74" s="647"/>
      <c r="E74" s="647"/>
      <c r="F74" s="647"/>
      <c r="G74" s="647"/>
      <c r="H74" s="647"/>
    </row>
    <row r="75" spans="1:8" ht="53.25" customHeight="1">
      <c r="A75" s="647" t="s">
        <v>185</v>
      </c>
      <c r="B75" s="647"/>
      <c r="C75" s="647"/>
      <c r="D75" s="647"/>
      <c r="E75" s="647"/>
      <c r="F75" s="647"/>
      <c r="G75" s="647"/>
      <c r="H75" s="647"/>
    </row>
    <row r="76" spans="1:8" ht="80.25" customHeight="1">
      <c r="A76" s="652" t="s">
        <v>186</v>
      </c>
      <c r="B76" s="652"/>
      <c r="C76" s="652"/>
      <c r="D76" s="652"/>
      <c r="E76" s="652"/>
      <c r="F76" s="652"/>
      <c r="G76" s="652"/>
      <c r="H76" s="652"/>
    </row>
    <row r="77" spans="1:8" ht="31.5" customHeight="1">
      <c r="A77" s="647" t="s">
        <v>187</v>
      </c>
      <c r="B77" s="647"/>
      <c r="C77" s="647"/>
      <c r="D77" s="647"/>
      <c r="E77" s="647"/>
      <c r="F77" s="647"/>
      <c r="G77" s="647"/>
      <c r="H77" s="647"/>
    </row>
    <row r="78" spans="1:8" ht="31.5" customHeight="1">
      <c r="A78" s="647" t="s">
        <v>188</v>
      </c>
      <c r="B78" s="647"/>
      <c r="C78" s="647"/>
      <c r="D78" s="647"/>
      <c r="E78" s="647"/>
      <c r="F78" s="647"/>
      <c r="G78" s="647"/>
      <c r="H78" s="647"/>
    </row>
    <row r="79" spans="1:8" ht="45.75" customHeight="1">
      <c r="A79" s="652" t="s">
        <v>189</v>
      </c>
      <c r="B79" s="652"/>
      <c r="C79" s="652"/>
      <c r="D79" s="652"/>
      <c r="E79" s="652"/>
      <c r="F79" s="652"/>
      <c r="G79" s="652"/>
      <c r="H79" s="652"/>
    </row>
    <row r="80" spans="1:8" ht="18.75" customHeight="1">
      <c r="A80" s="647" t="s">
        <v>190</v>
      </c>
      <c r="B80" s="647"/>
      <c r="C80" s="647"/>
      <c r="D80" s="647"/>
      <c r="E80" s="647"/>
      <c r="F80" s="647"/>
      <c r="G80" s="647"/>
      <c r="H80" s="647"/>
    </row>
    <row r="81" spans="1:8" ht="18.75" customHeight="1">
      <c r="A81" s="647" t="s">
        <v>191</v>
      </c>
      <c r="B81" s="647"/>
      <c r="C81" s="647"/>
      <c r="D81" s="647"/>
      <c r="E81" s="647"/>
      <c r="F81" s="647"/>
      <c r="G81" s="647"/>
      <c r="H81" s="647"/>
    </row>
    <row r="82" spans="1:8" ht="33" customHeight="1">
      <c r="A82" s="652" t="s">
        <v>192</v>
      </c>
      <c r="B82" s="652"/>
      <c r="C82" s="652"/>
      <c r="D82" s="652"/>
      <c r="E82" s="652"/>
      <c r="F82" s="652"/>
      <c r="G82" s="652"/>
      <c r="H82" s="652"/>
    </row>
    <row r="84" spans="1:8" ht="14.25" customHeight="1">
      <c r="A84" s="470"/>
    </row>
  </sheetData>
  <mergeCells count="48">
    <mergeCell ref="A4:H4"/>
    <mergeCell ref="A79:H79"/>
    <mergeCell ref="A80:H80"/>
    <mergeCell ref="A81:H81"/>
    <mergeCell ref="A82:H82"/>
    <mergeCell ref="A24:H24"/>
    <mergeCell ref="A31:H31"/>
    <mergeCell ref="A76:H76"/>
    <mergeCell ref="A77:H77"/>
    <mergeCell ref="A78:H78"/>
    <mergeCell ref="A75:H75"/>
    <mergeCell ref="A74:H74"/>
    <mergeCell ref="A69:H69"/>
    <mergeCell ref="A70:H70"/>
    <mergeCell ref="A71:H71"/>
    <mergeCell ref="A72:H72"/>
    <mergeCell ref="A73:H73"/>
    <mergeCell ref="A18:G18"/>
    <mergeCell ref="A22:G22"/>
    <mergeCell ref="A5:G5"/>
    <mergeCell ref="A6:A7"/>
    <mergeCell ref="A16:G16"/>
    <mergeCell ref="A8:G8"/>
    <mergeCell ref="A14:G14"/>
    <mergeCell ref="A11:G11"/>
    <mergeCell ref="A12:A13"/>
    <mergeCell ref="A20:G20"/>
    <mergeCell ref="A68:H68"/>
    <mergeCell ref="A67:H67"/>
    <mergeCell ref="A64:H64"/>
    <mergeCell ref="A65:H65"/>
    <mergeCell ref="A66:H66"/>
    <mergeCell ref="A63:H63"/>
    <mergeCell ref="A25:H25"/>
    <mergeCell ref="A27:H27"/>
    <mergeCell ref="A29:H29"/>
    <mergeCell ref="A38:A39"/>
    <mergeCell ref="A41:A42"/>
    <mergeCell ref="A45:A46"/>
    <mergeCell ref="A37:H37"/>
    <mergeCell ref="A43:H43"/>
    <mergeCell ref="A32:H32"/>
    <mergeCell ref="A33:A34"/>
    <mergeCell ref="A51:H51"/>
    <mergeCell ref="A55:G55"/>
    <mergeCell ref="A57:G57"/>
    <mergeCell ref="A59:G59"/>
    <mergeCell ref="A61:G6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FF"/>
  </sheetPr>
  <dimension ref="A1:P162"/>
  <sheetViews>
    <sheetView tabSelected="1" topLeftCell="A93" zoomScale="110" zoomScaleNormal="110" zoomScalePageLayoutView="60" workbookViewId="0">
      <selection activeCell="F113" sqref="F113"/>
    </sheetView>
  </sheetViews>
  <sheetFormatPr defaultColWidth="9.140625" defaultRowHeight="14.25" customHeight="1"/>
  <cols>
    <col min="1" max="1" width="34" style="1" customWidth="1"/>
    <col min="2" max="2" width="16.140625" style="5" customWidth="1"/>
    <col min="3" max="3" width="21.42578125" style="5" customWidth="1"/>
    <col min="4" max="4" width="24.42578125" style="5" customWidth="1"/>
    <col min="5" max="5" width="14.42578125" style="5" customWidth="1"/>
    <col min="6" max="6" width="29.85546875" style="5" customWidth="1"/>
    <col min="7" max="7" width="11.42578125" style="5" customWidth="1"/>
    <col min="8" max="8" width="9.140625" style="5"/>
    <col min="9" max="9" width="9.42578125" style="5" customWidth="1"/>
    <col min="10" max="10" width="34.42578125" style="5" customWidth="1"/>
    <col min="11" max="11" width="10.42578125" style="5" bestFit="1" customWidth="1"/>
    <col min="12" max="12" width="14" style="5" bestFit="1" customWidth="1"/>
    <col min="13" max="15" width="9.140625" style="5"/>
    <col min="16" max="16" width="12.42578125" style="5" bestFit="1" customWidth="1"/>
    <col min="17" max="16384" width="9.140625" style="1"/>
  </cols>
  <sheetData>
    <row r="1" spans="1:16" ht="15">
      <c r="A1" s="653" t="s">
        <v>193</v>
      </c>
      <c r="B1" s="654"/>
      <c r="C1" s="654"/>
      <c r="D1" s="654"/>
      <c r="E1" s="654"/>
      <c r="F1" s="654"/>
      <c r="G1" s="654"/>
      <c r="H1" s="654"/>
      <c r="I1" s="633"/>
      <c r="J1" s="634"/>
      <c r="K1" s="634"/>
      <c r="L1" s="634"/>
      <c r="M1" s="634"/>
      <c r="N1" s="634"/>
      <c r="O1" s="634"/>
      <c r="P1" s="634"/>
    </row>
    <row r="2" spans="1:16" ht="15">
      <c r="A2" s="655" t="s">
        <v>194</v>
      </c>
      <c r="B2" s="656"/>
      <c r="C2" s="656"/>
      <c r="D2" s="656"/>
      <c r="E2" s="656"/>
      <c r="F2" s="656"/>
      <c r="G2" s="656"/>
      <c r="H2" s="656"/>
      <c r="P2" s="1"/>
    </row>
    <row r="3" spans="1:16" ht="15">
      <c r="B3" s="279"/>
      <c r="C3" s="144"/>
      <c r="D3" s="279"/>
      <c r="E3" s="144"/>
      <c r="F3" s="86"/>
      <c r="G3" s="191"/>
      <c r="P3" s="1"/>
    </row>
    <row r="4" spans="1:16" ht="15">
      <c r="A4" s="84"/>
      <c r="B4" s="279"/>
      <c r="C4" s="144"/>
      <c r="D4" s="279"/>
      <c r="E4" s="144"/>
      <c r="F4" s="86"/>
      <c r="G4" s="191"/>
      <c r="P4" s="1"/>
    </row>
    <row r="5" spans="1:16" ht="14.1" customHeight="1">
      <c r="A5" s="660" t="s">
        <v>195</v>
      </c>
      <c r="B5" s="661"/>
      <c r="C5" s="661"/>
      <c r="D5" s="661"/>
      <c r="E5" s="661"/>
      <c r="F5" s="661"/>
      <c r="G5" s="661"/>
      <c r="H5" s="662"/>
      <c r="I5" s="83"/>
      <c r="K5" s="83"/>
      <c r="L5" s="83"/>
      <c r="M5" s="83"/>
      <c r="N5" s="83"/>
      <c r="O5" s="83"/>
      <c r="P5" s="83"/>
    </row>
    <row r="6" spans="1:16" ht="29.1" customHeight="1">
      <c r="A6" s="43"/>
      <c r="B6" s="635" t="s">
        <v>196</v>
      </c>
      <c r="C6" s="192"/>
      <c r="D6" s="192" t="s">
        <v>197</v>
      </c>
      <c r="E6" s="192"/>
      <c r="F6" s="192" t="s">
        <v>198</v>
      </c>
      <c r="G6" s="192"/>
      <c r="H6" s="185" t="s">
        <v>199</v>
      </c>
      <c r="I6" s="113"/>
      <c r="K6" s="113"/>
      <c r="L6" s="113"/>
      <c r="M6" s="113"/>
      <c r="N6" s="113"/>
      <c r="O6" s="113"/>
      <c r="P6" s="107"/>
    </row>
    <row r="7" spans="1:16">
      <c r="A7" s="611" t="s">
        <v>200</v>
      </c>
      <c r="B7" s="175" t="s">
        <v>201</v>
      </c>
      <c r="C7" s="175" t="s">
        <v>202</v>
      </c>
      <c r="D7" s="175" t="s">
        <v>201</v>
      </c>
      <c r="E7" s="175" t="s">
        <v>202</v>
      </c>
      <c r="F7" s="175" t="s">
        <v>201</v>
      </c>
      <c r="G7" s="175" t="s">
        <v>203</v>
      </c>
      <c r="H7" s="176" t="s">
        <v>202</v>
      </c>
      <c r="I7" s="11"/>
      <c r="K7" s="11"/>
      <c r="L7" s="11"/>
      <c r="M7" s="11"/>
      <c r="N7" s="11"/>
      <c r="O7" s="11"/>
      <c r="P7" s="11"/>
    </row>
    <row r="8" spans="1:16">
      <c r="A8" s="611" t="s">
        <v>204</v>
      </c>
      <c r="B8" s="45"/>
      <c r="C8" s="45"/>
      <c r="D8" s="45"/>
      <c r="E8" s="45"/>
      <c r="F8" s="45"/>
      <c r="G8" s="45"/>
      <c r="H8" s="46"/>
      <c r="I8" s="11"/>
      <c r="K8" s="11"/>
      <c r="L8" s="11"/>
      <c r="M8" s="11"/>
      <c r="N8" s="11"/>
      <c r="O8" s="11"/>
      <c r="P8" s="11"/>
    </row>
    <row r="9" spans="1:16" ht="15">
      <c r="A9" s="610" t="s">
        <v>205</v>
      </c>
      <c r="B9" s="624">
        <v>12833</v>
      </c>
      <c r="C9" s="63">
        <v>0.51100000000000001</v>
      </c>
      <c r="D9" s="62">
        <v>13282</v>
      </c>
      <c r="E9" s="64">
        <v>0.50700000000000001</v>
      </c>
      <c r="F9" s="624">
        <v>449</v>
      </c>
      <c r="G9" s="230" t="s">
        <v>206</v>
      </c>
      <c r="H9" s="116">
        <v>0.5</v>
      </c>
      <c r="I9" s="109"/>
      <c r="K9" s="11"/>
      <c r="L9" s="110"/>
      <c r="M9" s="110"/>
      <c r="N9" s="110"/>
      <c r="O9" s="110"/>
      <c r="P9" s="110"/>
    </row>
    <row r="10" spans="1:16" ht="15">
      <c r="A10" s="610" t="s">
        <v>207</v>
      </c>
      <c r="B10" s="624">
        <v>12305</v>
      </c>
      <c r="C10" s="63">
        <v>0.48899999999999999</v>
      </c>
      <c r="D10" s="62">
        <v>12905</v>
      </c>
      <c r="E10" s="64">
        <v>0.49299999999999999</v>
      </c>
      <c r="F10" s="624">
        <v>601</v>
      </c>
      <c r="G10" s="231" t="s">
        <v>208</v>
      </c>
      <c r="H10" s="625"/>
      <c r="I10" s="72"/>
      <c r="K10" s="111"/>
      <c r="L10" s="110"/>
      <c r="M10" s="110"/>
      <c r="N10" s="110"/>
      <c r="O10" s="110"/>
      <c r="P10" s="110"/>
    </row>
    <row r="11" spans="1:16" ht="15">
      <c r="A11" s="75" t="s">
        <v>209</v>
      </c>
      <c r="B11" s="62">
        <v>25138</v>
      </c>
      <c r="C11" s="51">
        <v>1</v>
      </c>
      <c r="D11" s="62">
        <v>26187</v>
      </c>
      <c r="E11" s="51">
        <v>1</v>
      </c>
      <c r="F11" s="62">
        <v>1050</v>
      </c>
      <c r="G11" s="232" t="s">
        <v>210</v>
      </c>
      <c r="H11" s="114"/>
      <c r="I11" s="74"/>
      <c r="K11" s="44"/>
      <c r="L11" s="74"/>
      <c r="M11" s="74"/>
      <c r="N11" s="74"/>
      <c r="O11" s="74"/>
      <c r="P11" s="74"/>
    </row>
    <row r="12" spans="1:16" ht="15">
      <c r="A12" s="47"/>
      <c r="B12" s="44"/>
      <c r="C12" s="44"/>
      <c r="D12" s="44"/>
      <c r="E12" s="44"/>
      <c r="F12" s="44"/>
      <c r="G12" s="44"/>
      <c r="H12" s="112"/>
      <c r="I12" s="44"/>
      <c r="K12" s="44"/>
      <c r="L12" s="44"/>
      <c r="M12" s="44"/>
      <c r="N12" s="44"/>
      <c r="O12" s="44"/>
      <c r="P12" s="44"/>
    </row>
    <row r="13" spans="1:16" ht="14.1" customHeight="1">
      <c r="A13" s="657" t="s">
        <v>211</v>
      </c>
      <c r="B13" s="658"/>
      <c r="C13" s="658"/>
      <c r="D13" s="658"/>
      <c r="E13" s="658"/>
      <c r="F13" s="658"/>
      <c r="G13" s="658"/>
      <c r="H13" s="659"/>
      <c r="I13" s="108"/>
      <c r="K13" s="108"/>
      <c r="L13" s="108"/>
      <c r="M13" s="108"/>
      <c r="N13" s="108"/>
      <c r="O13" s="108"/>
      <c r="P13" s="108"/>
    </row>
    <row r="14" spans="1:16" ht="15">
      <c r="A14" s="610" t="s">
        <v>205</v>
      </c>
      <c r="B14" s="624">
        <v>186</v>
      </c>
      <c r="C14" s="63">
        <v>0.441</v>
      </c>
      <c r="D14" s="62">
        <v>187</v>
      </c>
      <c r="E14" s="64">
        <v>0.442</v>
      </c>
      <c r="F14" s="624">
        <v>1</v>
      </c>
      <c r="G14" s="230" t="s">
        <v>173</v>
      </c>
      <c r="H14" s="116">
        <v>0.45</v>
      </c>
      <c r="I14" s="72"/>
      <c r="K14" s="11"/>
      <c r="L14" s="74"/>
      <c r="M14" s="74"/>
      <c r="N14" s="74"/>
      <c r="O14" s="74"/>
      <c r="P14" s="74"/>
    </row>
    <row r="15" spans="1:16" ht="15">
      <c r="A15" s="610" t="s">
        <v>207</v>
      </c>
      <c r="B15" s="624">
        <v>237</v>
      </c>
      <c r="C15" s="63">
        <v>0.55900000000000005</v>
      </c>
      <c r="D15" s="62">
        <v>236</v>
      </c>
      <c r="E15" s="64">
        <v>0.55800000000000005</v>
      </c>
      <c r="F15" s="624">
        <v>-1</v>
      </c>
      <c r="G15" s="231" t="s">
        <v>212</v>
      </c>
      <c r="H15" s="625"/>
      <c r="I15" s="72"/>
      <c r="K15" s="111"/>
      <c r="L15" s="74"/>
      <c r="M15" s="74"/>
      <c r="N15" s="74"/>
      <c r="O15" s="74"/>
      <c r="P15" s="74"/>
    </row>
    <row r="16" spans="1:16" ht="15">
      <c r="A16" s="75" t="s">
        <v>209</v>
      </c>
      <c r="B16" s="62">
        <v>423</v>
      </c>
      <c r="C16" s="51">
        <v>1</v>
      </c>
      <c r="D16" s="62">
        <v>423</v>
      </c>
      <c r="E16" s="51">
        <v>1</v>
      </c>
      <c r="F16" s="62">
        <v>0</v>
      </c>
      <c r="G16" s="232" t="s">
        <v>210</v>
      </c>
      <c r="H16" s="114"/>
      <c r="I16" s="85"/>
      <c r="K16" s="44"/>
      <c r="L16" s="74"/>
      <c r="M16" s="74"/>
      <c r="N16" s="74"/>
      <c r="O16" s="74"/>
      <c r="P16" s="74"/>
    </row>
    <row r="17" spans="1:16"/>
    <row r="18" spans="1:16" ht="15" customHeight="1">
      <c r="A18" s="47"/>
      <c r="B18" s="44"/>
      <c r="C18" s="44"/>
      <c r="D18" s="44"/>
      <c r="E18" s="44"/>
      <c r="F18" s="44"/>
      <c r="G18" s="44"/>
      <c r="H18" s="44"/>
      <c r="P18" s="1"/>
    </row>
    <row r="19" spans="1:16" ht="27.6" customHeight="1">
      <c r="A19" s="660" t="s">
        <v>213</v>
      </c>
      <c r="B19" s="661"/>
      <c r="C19" s="661"/>
      <c r="D19" s="661"/>
      <c r="E19" s="661"/>
      <c r="F19" s="661"/>
      <c r="G19" s="661"/>
      <c r="H19" s="662"/>
    </row>
    <row r="20" spans="1:16" ht="28.5">
      <c r="A20" s="43"/>
      <c r="B20" s="635" t="s">
        <v>214</v>
      </c>
      <c r="C20" s="192"/>
      <c r="D20" s="192" t="s">
        <v>197</v>
      </c>
      <c r="E20" s="192"/>
      <c r="F20" s="192" t="s">
        <v>198</v>
      </c>
      <c r="G20" s="186"/>
      <c r="H20" s="185" t="s">
        <v>199</v>
      </c>
    </row>
    <row r="21" spans="1:16">
      <c r="A21" s="611" t="s">
        <v>215</v>
      </c>
      <c r="B21" s="175" t="s">
        <v>201</v>
      </c>
      <c r="C21" s="175" t="s">
        <v>202</v>
      </c>
      <c r="D21" s="175" t="s">
        <v>201</v>
      </c>
      <c r="E21" s="175" t="s">
        <v>202</v>
      </c>
      <c r="F21" s="175" t="s">
        <v>201</v>
      </c>
      <c r="G21" s="175" t="s">
        <v>203</v>
      </c>
      <c r="H21" s="176" t="s">
        <v>202</v>
      </c>
    </row>
    <row r="22" spans="1:16" ht="15">
      <c r="A22" s="610" t="s">
        <v>216</v>
      </c>
      <c r="B22" s="624">
        <v>2346</v>
      </c>
      <c r="C22" s="63">
        <v>0.66700000000000004</v>
      </c>
      <c r="D22" s="62">
        <v>2496</v>
      </c>
      <c r="E22" s="64">
        <v>0.66200000000000003</v>
      </c>
      <c r="F22" s="624">
        <v>150</v>
      </c>
      <c r="G22" s="237" t="s">
        <v>217</v>
      </c>
      <c r="H22" s="116"/>
    </row>
    <row r="23" spans="1:16" ht="15">
      <c r="A23" s="610" t="s">
        <v>218</v>
      </c>
      <c r="B23" s="624">
        <v>1171</v>
      </c>
      <c r="C23" s="63">
        <v>0.33300000000000002</v>
      </c>
      <c r="D23" s="62">
        <v>1273</v>
      </c>
      <c r="E23" s="64">
        <v>0.33800000000000002</v>
      </c>
      <c r="F23" s="624">
        <v>102</v>
      </c>
      <c r="G23" s="238" t="s">
        <v>25</v>
      </c>
      <c r="H23" s="116">
        <v>0.3</v>
      </c>
    </row>
    <row r="24" spans="1:16" ht="15">
      <c r="A24" s="75" t="s">
        <v>209</v>
      </c>
      <c r="B24" s="62">
        <v>3517</v>
      </c>
      <c r="C24" s="64">
        <v>1</v>
      </c>
      <c r="D24" s="62">
        <v>3769</v>
      </c>
      <c r="E24" s="51">
        <v>1</v>
      </c>
      <c r="F24" s="62">
        <v>252</v>
      </c>
      <c r="G24" s="236" t="s">
        <v>219</v>
      </c>
      <c r="H24" s="114"/>
    </row>
    <row r="25" spans="1:16" ht="15">
      <c r="A25" s="657"/>
      <c r="B25" s="658"/>
      <c r="C25" s="658"/>
      <c r="D25" s="658"/>
      <c r="E25" s="658"/>
      <c r="F25" s="658"/>
      <c r="G25" s="658"/>
      <c r="H25" s="659"/>
    </row>
    <row r="26" spans="1:16" ht="28.5">
      <c r="A26" s="610" t="s">
        <v>220</v>
      </c>
      <c r="B26" s="624">
        <v>13</v>
      </c>
      <c r="C26" s="187" t="s">
        <v>221</v>
      </c>
      <c r="D26" s="62">
        <v>13</v>
      </c>
      <c r="E26" s="189" t="s">
        <v>222</v>
      </c>
      <c r="F26" s="624">
        <v>0</v>
      </c>
      <c r="G26" s="231" t="s">
        <v>219</v>
      </c>
      <c r="H26" s="625"/>
    </row>
    <row r="27" spans="1:16" ht="15">
      <c r="A27" s="610" t="s">
        <v>223</v>
      </c>
      <c r="B27" s="624">
        <v>511</v>
      </c>
      <c r="C27" s="187" t="s">
        <v>224</v>
      </c>
      <c r="D27" s="62">
        <v>552</v>
      </c>
      <c r="E27" s="189" t="s">
        <v>225</v>
      </c>
      <c r="F27" s="624">
        <v>41</v>
      </c>
      <c r="G27" s="230" t="s">
        <v>226</v>
      </c>
      <c r="H27" s="625"/>
    </row>
    <row r="28" spans="1:16" ht="28.5">
      <c r="A28" s="610" t="s">
        <v>227</v>
      </c>
      <c r="B28" s="624">
        <v>238</v>
      </c>
      <c r="C28" s="187" t="s">
        <v>228</v>
      </c>
      <c r="D28" s="62">
        <v>253</v>
      </c>
      <c r="E28" s="189" t="s">
        <v>229</v>
      </c>
      <c r="F28" s="624">
        <v>15</v>
      </c>
      <c r="G28" s="230" t="s">
        <v>172</v>
      </c>
      <c r="H28" s="114"/>
    </row>
    <row r="29" spans="1:16" ht="15">
      <c r="A29" s="19" t="s">
        <v>230</v>
      </c>
      <c r="B29" s="274">
        <v>242</v>
      </c>
      <c r="C29" s="188" t="s">
        <v>231</v>
      </c>
      <c r="D29" s="178">
        <v>278</v>
      </c>
      <c r="E29" s="190" t="s">
        <v>232</v>
      </c>
      <c r="F29" s="180">
        <v>36</v>
      </c>
      <c r="G29" s="233" t="s">
        <v>25</v>
      </c>
      <c r="H29" s="115"/>
    </row>
    <row r="30" spans="1:16" ht="28.5">
      <c r="A30" s="610" t="s">
        <v>233</v>
      </c>
      <c r="B30" s="274">
        <v>5</v>
      </c>
      <c r="C30" s="188" t="s">
        <v>234</v>
      </c>
      <c r="D30" s="178">
        <v>7</v>
      </c>
      <c r="E30" s="190" t="s">
        <v>235</v>
      </c>
      <c r="F30" s="180">
        <v>2</v>
      </c>
      <c r="G30" s="233" t="s">
        <v>219</v>
      </c>
      <c r="H30" s="115"/>
    </row>
    <row r="31" spans="1:16" ht="28.5">
      <c r="A31" s="610" t="s">
        <v>236</v>
      </c>
      <c r="B31" s="274">
        <v>162</v>
      </c>
      <c r="C31" s="188" t="s">
        <v>237</v>
      </c>
      <c r="D31" s="178">
        <v>170</v>
      </c>
      <c r="E31" s="190" t="s">
        <v>238</v>
      </c>
      <c r="F31" s="180">
        <v>8</v>
      </c>
      <c r="G31" s="233" t="s">
        <v>172</v>
      </c>
      <c r="H31" s="115"/>
    </row>
    <row r="32" spans="1:16" ht="15">
      <c r="A32" s="610" t="s">
        <v>239</v>
      </c>
      <c r="B32" s="274">
        <v>43</v>
      </c>
      <c r="C32" s="188" t="s">
        <v>240</v>
      </c>
      <c r="D32" s="178">
        <v>59</v>
      </c>
      <c r="E32" s="190" t="s">
        <v>241</v>
      </c>
      <c r="F32" s="180">
        <v>16</v>
      </c>
      <c r="G32" s="233" t="s">
        <v>208</v>
      </c>
      <c r="H32" s="115"/>
    </row>
    <row r="33" spans="1:9" ht="15">
      <c r="A33" s="610" t="s">
        <v>242</v>
      </c>
      <c r="B33" s="287">
        <v>2303</v>
      </c>
      <c r="C33" s="188" t="s">
        <v>243</v>
      </c>
      <c r="D33" s="181">
        <v>2437</v>
      </c>
      <c r="E33" s="190" t="s">
        <v>244</v>
      </c>
      <c r="F33" s="180">
        <v>134</v>
      </c>
      <c r="G33" s="234" t="s">
        <v>245</v>
      </c>
      <c r="H33" s="115"/>
    </row>
    <row r="34" spans="1:9" ht="15">
      <c r="A34" s="75" t="s">
        <v>209</v>
      </c>
      <c r="B34" s="289">
        <v>3517</v>
      </c>
      <c r="C34" s="179">
        <v>1</v>
      </c>
      <c r="D34" s="181">
        <v>3769</v>
      </c>
      <c r="E34" s="179">
        <v>1</v>
      </c>
      <c r="F34" s="178">
        <v>252</v>
      </c>
      <c r="G34" s="239" t="s">
        <v>219</v>
      </c>
      <c r="H34" s="115"/>
    </row>
    <row r="35" spans="1:9"/>
    <row r="36" spans="1:9" ht="15">
      <c r="A36" s="660" t="s">
        <v>246</v>
      </c>
      <c r="B36" s="661"/>
      <c r="C36" s="661"/>
      <c r="D36" s="661"/>
      <c r="E36" s="661"/>
      <c r="F36" s="661"/>
      <c r="G36" s="661"/>
      <c r="H36" s="662"/>
    </row>
    <row r="37" spans="1:9" ht="28.5">
      <c r="A37" s="43"/>
      <c r="B37" s="192" t="s">
        <v>214</v>
      </c>
      <c r="C37" s="209"/>
      <c r="D37" s="192" t="s">
        <v>197</v>
      </c>
      <c r="E37" s="192"/>
      <c r="F37" s="192" t="s">
        <v>198</v>
      </c>
      <c r="G37" s="186"/>
      <c r="H37" s="185" t="s">
        <v>199</v>
      </c>
    </row>
    <row r="38" spans="1:9" ht="15">
      <c r="A38" s="611" t="s">
        <v>247</v>
      </c>
      <c r="B38" s="175" t="s">
        <v>201</v>
      </c>
      <c r="C38" s="175" t="s">
        <v>202</v>
      </c>
      <c r="D38" s="175" t="s">
        <v>201</v>
      </c>
      <c r="E38" s="175" t="s">
        <v>202</v>
      </c>
      <c r="F38" s="175" t="s">
        <v>201</v>
      </c>
      <c r="G38" s="175" t="s">
        <v>203</v>
      </c>
      <c r="H38" s="176" t="s">
        <v>202</v>
      </c>
      <c r="I38"/>
    </row>
    <row r="39" spans="1:9" ht="15">
      <c r="A39" s="610" t="s">
        <v>216</v>
      </c>
      <c r="B39" s="624">
        <v>228</v>
      </c>
      <c r="C39" s="63">
        <v>0.65100000000000002</v>
      </c>
      <c r="D39" s="62">
        <v>223</v>
      </c>
      <c r="E39" s="64">
        <v>0.64500000000000002</v>
      </c>
      <c r="F39" s="624">
        <v>-5</v>
      </c>
      <c r="G39" s="231" t="s">
        <v>248</v>
      </c>
      <c r="H39" s="240"/>
    </row>
    <row r="40" spans="1:9" ht="15">
      <c r="A40" s="610" t="s">
        <v>218</v>
      </c>
      <c r="B40" s="624">
        <v>122</v>
      </c>
      <c r="C40" s="63">
        <v>0.34899999999999998</v>
      </c>
      <c r="D40" s="62">
        <v>123</v>
      </c>
      <c r="E40" s="64">
        <v>0.35499999999999998</v>
      </c>
      <c r="F40" s="624">
        <v>1</v>
      </c>
      <c r="G40" s="230" t="s">
        <v>249</v>
      </c>
      <c r="H40" s="625"/>
    </row>
    <row r="41" spans="1:9" ht="15">
      <c r="A41" s="75" t="s">
        <v>209</v>
      </c>
      <c r="B41" s="62">
        <v>350</v>
      </c>
      <c r="C41" s="51">
        <v>1</v>
      </c>
      <c r="D41" s="62">
        <v>346</v>
      </c>
      <c r="E41" s="51">
        <v>1</v>
      </c>
      <c r="F41" s="62">
        <v>-4</v>
      </c>
      <c r="G41" s="232" t="s">
        <v>210</v>
      </c>
      <c r="H41" s="114"/>
    </row>
    <row r="42" spans="1:9" ht="15">
      <c r="A42" s="657"/>
      <c r="B42" s="658"/>
      <c r="C42" s="658"/>
      <c r="D42" s="658"/>
      <c r="E42" s="658"/>
      <c r="F42" s="658"/>
      <c r="G42" s="658"/>
      <c r="H42" s="659"/>
    </row>
    <row r="43" spans="1:9" ht="28.5">
      <c r="A43" s="610" t="s">
        <v>220</v>
      </c>
      <c r="B43" s="624">
        <v>0</v>
      </c>
      <c r="C43" s="187" t="s">
        <v>250</v>
      </c>
      <c r="D43" s="62">
        <v>2</v>
      </c>
      <c r="E43" s="189" t="s">
        <v>251</v>
      </c>
      <c r="F43" s="624">
        <v>2</v>
      </c>
      <c r="G43" s="230" t="s">
        <v>252</v>
      </c>
      <c r="H43" s="625"/>
    </row>
    <row r="44" spans="1:9" ht="14.25" customHeight="1">
      <c r="A44" s="610" t="s">
        <v>223</v>
      </c>
      <c r="B44" s="624">
        <v>39</v>
      </c>
      <c r="C44" s="187" t="s">
        <v>253</v>
      </c>
      <c r="D44" s="62">
        <v>41</v>
      </c>
      <c r="E44" s="189" t="s">
        <v>254</v>
      </c>
      <c r="F44" s="624">
        <v>2</v>
      </c>
      <c r="G44" s="230" t="s">
        <v>249</v>
      </c>
      <c r="H44" s="625"/>
    </row>
    <row r="45" spans="1:9" ht="28.5">
      <c r="A45" s="610" t="s">
        <v>227</v>
      </c>
      <c r="B45" s="624">
        <v>50</v>
      </c>
      <c r="C45" s="187" t="s">
        <v>255</v>
      </c>
      <c r="D45" s="62">
        <v>50</v>
      </c>
      <c r="E45" s="189" t="s">
        <v>224</v>
      </c>
      <c r="F45" s="624">
        <v>0</v>
      </c>
      <c r="G45" s="230" t="s">
        <v>173</v>
      </c>
      <c r="H45" s="114"/>
    </row>
    <row r="46" spans="1:9" ht="15">
      <c r="A46" s="19" t="s">
        <v>230</v>
      </c>
      <c r="B46" s="274">
        <v>17</v>
      </c>
      <c r="C46" s="188" t="s">
        <v>256</v>
      </c>
      <c r="D46" s="178">
        <v>17</v>
      </c>
      <c r="E46" s="190" t="s">
        <v>256</v>
      </c>
      <c r="F46" s="180">
        <v>0</v>
      </c>
      <c r="G46" s="233" t="s">
        <v>226</v>
      </c>
      <c r="H46" s="115"/>
    </row>
    <row r="47" spans="1:9" ht="28.5">
      <c r="A47" s="610" t="s">
        <v>233</v>
      </c>
      <c r="B47" s="274">
        <v>0</v>
      </c>
      <c r="C47" s="177">
        <v>0</v>
      </c>
      <c r="D47" s="178">
        <v>0</v>
      </c>
      <c r="E47" s="190" t="s">
        <v>250</v>
      </c>
      <c r="F47" s="180">
        <v>0</v>
      </c>
      <c r="G47" s="233" t="s">
        <v>210</v>
      </c>
      <c r="H47" s="115"/>
      <c r="I47"/>
    </row>
    <row r="48" spans="1:9" ht="28.5">
      <c r="A48" s="610" t="s">
        <v>236</v>
      </c>
      <c r="B48" s="274">
        <v>16</v>
      </c>
      <c r="C48" s="188" t="s">
        <v>237</v>
      </c>
      <c r="D48" s="178">
        <v>13</v>
      </c>
      <c r="E48" s="190" t="s">
        <v>257</v>
      </c>
      <c r="F48" s="180">
        <v>-3</v>
      </c>
      <c r="G48" s="233" t="s">
        <v>245</v>
      </c>
      <c r="H48" s="115"/>
    </row>
    <row r="49" spans="1:9" ht="15">
      <c r="A49" s="610" t="s">
        <v>239</v>
      </c>
      <c r="B49" s="274">
        <v>6</v>
      </c>
      <c r="C49" s="188" t="s">
        <v>258</v>
      </c>
      <c r="D49" s="178">
        <v>6</v>
      </c>
      <c r="E49" s="190" t="s">
        <v>258</v>
      </c>
      <c r="F49" s="180">
        <v>0</v>
      </c>
      <c r="G49" s="233" t="s">
        <v>219</v>
      </c>
      <c r="H49" s="115"/>
    </row>
    <row r="50" spans="1:9" ht="15">
      <c r="A50" s="610" t="s">
        <v>242</v>
      </c>
      <c r="B50" s="274">
        <v>222</v>
      </c>
      <c r="C50" s="188" t="s">
        <v>259</v>
      </c>
      <c r="D50" s="178">
        <v>217</v>
      </c>
      <c r="E50" s="190" t="s">
        <v>260</v>
      </c>
      <c r="F50" s="180">
        <v>-5</v>
      </c>
      <c r="G50" s="234" t="s">
        <v>248</v>
      </c>
      <c r="H50" s="115"/>
    </row>
    <row r="51" spans="1:9" ht="15">
      <c r="A51" s="75" t="s">
        <v>209</v>
      </c>
      <c r="B51" s="182">
        <v>350</v>
      </c>
      <c r="C51" s="179">
        <v>1</v>
      </c>
      <c r="D51" s="178">
        <v>346</v>
      </c>
      <c r="E51" s="179">
        <v>1</v>
      </c>
      <c r="F51" s="178">
        <v>-4</v>
      </c>
      <c r="G51" s="239" t="s">
        <v>210</v>
      </c>
      <c r="H51" s="115"/>
    </row>
    <row r="52" spans="1:9"/>
    <row r="53" spans="1:9" ht="15">
      <c r="A53" s="660" t="s">
        <v>261</v>
      </c>
      <c r="B53" s="661"/>
      <c r="C53" s="661"/>
      <c r="D53" s="661"/>
      <c r="E53" s="661"/>
      <c r="F53" s="661"/>
      <c r="G53" s="661"/>
      <c r="H53" s="662"/>
    </row>
    <row r="54" spans="1:9">
      <c r="A54" s="43"/>
      <c r="B54" s="209" t="s">
        <v>214</v>
      </c>
      <c r="C54" s="209"/>
      <c r="D54" s="192" t="s">
        <v>197</v>
      </c>
      <c r="E54" s="192"/>
      <c r="F54" s="192" t="s">
        <v>198</v>
      </c>
      <c r="G54" s="186"/>
      <c r="H54" s="105"/>
    </row>
    <row r="55" spans="1:9">
      <c r="A55" s="611" t="s">
        <v>262</v>
      </c>
      <c r="B55" s="175" t="s">
        <v>201</v>
      </c>
      <c r="C55" s="175" t="s">
        <v>202</v>
      </c>
      <c r="D55" s="175" t="s">
        <v>201</v>
      </c>
      <c r="E55" s="175" t="s">
        <v>202</v>
      </c>
      <c r="F55" s="175" t="s">
        <v>201</v>
      </c>
      <c r="G55" s="175" t="s">
        <v>203</v>
      </c>
      <c r="H55" s="46"/>
    </row>
    <row r="56" spans="1:9" ht="15">
      <c r="A56" s="610" t="s">
        <v>216</v>
      </c>
      <c r="B56" s="624">
        <v>13749</v>
      </c>
      <c r="C56" s="63">
        <v>0.37</v>
      </c>
      <c r="D56" s="62">
        <v>14468</v>
      </c>
      <c r="E56" s="64">
        <v>0.35799999999999998</v>
      </c>
      <c r="F56" s="624">
        <v>719</v>
      </c>
      <c r="G56" s="231" t="s">
        <v>263</v>
      </c>
      <c r="H56" s="625"/>
    </row>
    <row r="57" spans="1:9" ht="15">
      <c r="A57" s="610" t="s">
        <v>218</v>
      </c>
      <c r="B57" s="624">
        <v>23405</v>
      </c>
      <c r="C57" s="63">
        <v>0.63</v>
      </c>
      <c r="D57" s="62">
        <v>25968</v>
      </c>
      <c r="E57" s="64">
        <v>0.64200000000000002</v>
      </c>
      <c r="F57" s="624">
        <v>2563</v>
      </c>
      <c r="G57" s="230" t="s">
        <v>128</v>
      </c>
      <c r="H57" s="625"/>
    </row>
    <row r="58" spans="1:9" ht="15">
      <c r="A58" s="75" t="s">
        <v>209</v>
      </c>
      <c r="B58" s="62">
        <v>37154</v>
      </c>
      <c r="C58" s="64">
        <v>1</v>
      </c>
      <c r="D58" s="62">
        <v>40436</v>
      </c>
      <c r="E58" s="64">
        <v>1</v>
      </c>
      <c r="F58" s="62">
        <v>3282</v>
      </c>
      <c r="G58" s="236" t="s">
        <v>210</v>
      </c>
      <c r="H58" s="114"/>
    </row>
    <row r="59" spans="1:9" ht="15">
      <c r="A59" s="657"/>
      <c r="B59" s="658"/>
      <c r="C59" s="658"/>
      <c r="D59" s="658"/>
      <c r="E59" s="658"/>
      <c r="F59" s="658"/>
      <c r="G59" s="658"/>
      <c r="H59" s="659"/>
      <c r="I59"/>
    </row>
    <row r="60" spans="1:9" ht="28.5">
      <c r="A60" s="610" t="s">
        <v>220</v>
      </c>
      <c r="B60" s="624">
        <v>153</v>
      </c>
      <c r="C60" s="187" t="s">
        <v>221</v>
      </c>
      <c r="D60" s="62">
        <v>145</v>
      </c>
      <c r="E60" s="189" t="s">
        <v>221</v>
      </c>
      <c r="F60" s="624">
        <v>-8</v>
      </c>
      <c r="G60" s="230" t="s">
        <v>172</v>
      </c>
      <c r="H60" s="625"/>
    </row>
    <row r="61" spans="1:9" ht="14.25" customHeight="1">
      <c r="A61" s="610" t="s">
        <v>223</v>
      </c>
      <c r="B61" s="624">
        <v>3938</v>
      </c>
      <c r="C61" s="589">
        <v>0.106</v>
      </c>
      <c r="D61" s="62">
        <v>4339</v>
      </c>
      <c r="E61" s="189" t="s">
        <v>264</v>
      </c>
      <c r="F61" s="624">
        <v>401</v>
      </c>
      <c r="G61" s="230" t="s">
        <v>226</v>
      </c>
      <c r="H61" s="625"/>
    </row>
    <row r="62" spans="1:9" ht="28.5">
      <c r="A62" s="610" t="s">
        <v>227</v>
      </c>
      <c r="B62" s="624">
        <v>9484</v>
      </c>
      <c r="C62" s="589">
        <v>0.255</v>
      </c>
      <c r="D62" s="62">
        <v>10286</v>
      </c>
      <c r="E62" s="189" t="s">
        <v>265</v>
      </c>
      <c r="F62" s="624">
        <v>802</v>
      </c>
      <c r="G62" s="230" t="s">
        <v>172</v>
      </c>
      <c r="H62" s="114"/>
    </row>
    <row r="63" spans="1:9" ht="27.6" customHeight="1">
      <c r="A63" s="19" t="s">
        <v>230</v>
      </c>
      <c r="B63" s="287">
        <v>7426</v>
      </c>
      <c r="C63" s="590">
        <v>0.2</v>
      </c>
      <c r="D63" s="181">
        <v>8795</v>
      </c>
      <c r="E63" s="228">
        <v>0.218</v>
      </c>
      <c r="F63" s="288">
        <v>1369</v>
      </c>
      <c r="G63" s="233" t="s">
        <v>266</v>
      </c>
      <c r="H63" s="115"/>
    </row>
    <row r="64" spans="1:9" ht="28.5">
      <c r="A64" s="610" t="s">
        <v>233</v>
      </c>
      <c r="B64" s="274">
        <v>260</v>
      </c>
      <c r="C64" s="188" t="s">
        <v>267</v>
      </c>
      <c r="D64" s="178">
        <v>267</v>
      </c>
      <c r="E64" s="190" t="s">
        <v>267</v>
      </c>
      <c r="F64" s="180">
        <v>7</v>
      </c>
      <c r="G64" s="591" t="s">
        <v>219</v>
      </c>
      <c r="H64" s="115"/>
      <c r="I64"/>
    </row>
    <row r="65" spans="1:16" ht="28.5">
      <c r="A65" s="610" t="s">
        <v>236</v>
      </c>
      <c r="B65" s="287">
        <v>2144</v>
      </c>
      <c r="C65" s="188" t="s">
        <v>268</v>
      </c>
      <c r="D65" s="181">
        <v>2136</v>
      </c>
      <c r="E65" s="190" t="s">
        <v>269</v>
      </c>
      <c r="F65" s="180">
        <v>-8</v>
      </c>
      <c r="G65" s="233" t="s">
        <v>217</v>
      </c>
      <c r="H65" s="115"/>
    </row>
    <row r="66" spans="1:16" ht="15">
      <c r="A66" s="610" t="s">
        <v>239</v>
      </c>
      <c r="B66" s="274">
        <v>460</v>
      </c>
      <c r="C66" s="188" t="s">
        <v>240</v>
      </c>
      <c r="D66" s="178">
        <v>811</v>
      </c>
      <c r="E66" s="190" t="s">
        <v>270</v>
      </c>
      <c r="F66" s="180">
        <v>351</v>
      </c>
      <c r="G66" s="233" t="s">
        <v>271</v>
      </c>
      <c r="H66" s="115"/>
    </row>
    <row r="67" spans="1:16" ht="15">
      <c r="A67" s="610" t="s">
        <v>242</v>
      </c>
      <c r="B67" s="287">
        <v>13289</v>
      </c>
      <c r="C67" s="188" t="s">
        <v>272</v>
      </c>
      <c r="D67" s="181">
        <v>13657</v>
      </c>
      <c r="E67" s="190" t="s">
        <v>273</v>
      </c>
      <c r="F67" s="288">
        <v>368</v>
      </c>
      <c r="G67" s="234" t="s">
        <v>157</v>
      </c>
      <c r="H67" s="115"/>
    </row>
    <row r="68" spans="1:16" ht="15">
      <c r="A68" s="75" t="s">
        <v>209</v>
      </c>
      <c r="B68" s="62">
        <v>37154</v>
      </c>
      <c r="C68" s="179">
        <v>1</v>
      </c>
      <c r="D68" s="181">
        <v>40436</v>
      </c>
      <c r="E68" s="179">
        <v>1</v>
      </c>
      <c r="F68" s="181">
        <v>3282</v>
      </c>
      <c r="G68" s="235" t="s">
        <v>210</v>
      </c>
      <c r="H68" s="115"/>
    </row>
    <row r="69" spans="1:16"/>
    <row r="70" spans="1:16" ht="15">
      <c r="A70" s="660" t="s">
        <v>274</v>
      </c>
      <c r="B70" s="661"/>
      <c r="C70" s="661"/>
      <c r="D70" s="661"/>
      <c r="E70" s="661"/>
      <c r="F70" s="661"/>
      <c r="G70" s="662"/>
    </row>
    <row r="71" spans="1:16">
      <c r="A71" s="43"/>
      <c r="B71" s="192" t="s">
        <v>214</v>
      </c>
      <c r="C71" s="192"/>
      <c r="D71" s="192" t="s">
        <v>197</v>
      </c>
      <c r="E71" s="192"/>
      <c r="F71" s="192" t="s">
        <v>198</v>
      </c>
      <c r="G71" s="105"/>
    </row>
    <row r="72" spans="1:16" ht="15">
      <c r="A72" s="611" t="s">
        <v>275</v>
      </c>
      <c r="B72" s="175" t="s">
        <v>201</v>
      </c>
      <c r="C72" s="175" t="s">
        <v>202</v>
      </c>
      <c r="D72" s="175" t="s">
        <v>201</v>
      </c>
      <c r="E72" s="175" t="s">
        <v>202</v>
      </c>
      <c r="F72" s="175" t="s">
        <v>201</v>
      </c>
      <c r="G72" s="176" t="s">
        <v>203</v>
      </c>
      <c r="H72"/>
    </row>
    <row r="73" spans="1:16" ht="15">
      <c r="A73" s="610" t="s">
        <v>276</v>
      </c>
      <c r="B73" s="624">
        <v>23405</v>
      </c>
      <c r="C73" s="589">
        <v>0.63</v>
      </c>
      <c r="D73" s="62">
        <v>25968</v>
      </c>
      <c r="E73" s="593">
        <v>0.64200000000000002</v>
      </c>
      <c r="F73" s="624">
        <v>2563</v>
      </c>
      <c r="G73" s="241" t="s">
        <v>128</v>
      </c>
      <c r="I73"/>
    </row>
    <row r="74" spans="1:16" ht="15">
      <c r="A74" s="610" t="s">
        <v>277</v>
      </c>
      <c r="B74" s="624">
        <v>122</v>
      </c>
      <c r="C74" s="589">
        <v>0.34599999999999997</v>
      </c>
      <c r="D74" s="62">
        <v>123</v>
      </c>
      <c r="E74" s="593">
        <v>0.35299999999999998</v>
      </c>
      <c r="F74" s="624">
        <v>1</v>
      </c>
      <c r="G74" s="241" t="s">
        <v>271</v>
      </c>
    </row>
    <row r="75" spans="1:16" ht="15">
      <c r="A75" s="610" t="s">
        <v>278</v>
      </c>
      <c r="B75" s="624">
        <v>348</v>
      </c>
      <c r="C75" s="589">
        <v>0.34200000000000003</v>
      </c>
      <c r="D75" s="62">
        <v>349</v>
      </c>
      <c r="E75" s="593">
        <v>0.33</v>
      </c>
      <c r="F75" s="624">
        <v>1</v>
      </c>
      <c r="G75" s="241" t="s">
        <v>279</v>
      </c>
    </row>
    <row r="76" spans="1:16" ht="15">
      <c r="A76" s="610" t="s">
        <v>280</v>
      </c>
      <c r="B76" s="71">
        <v>743</v>
      </c>
      <c r="C76" s="592">
        <v>0.32900000000000001</v>
      </c>
      <c r="D76" s="73">
        <v>853</v>
      </c>
      <c r="E76" s="594">
        <v>0.34200000000000003</v>
      </c>
      <c r="F76" s="11">
        <v>110</v>
      </c>
      <c r="G76" s="242" t="s">
        <v>281</v>
      </c>
    </row>
    <row r="77" spans="1:16" ht="15">
      <c r="A77" s="610" t="s">
        <v>282</v>
      </c>
      <c r="B77" s="624">
        <v>2177</v>
      </c>
      <c r="C77" s="589">
        <v>0.39200000000000002</v>
      </c>
      <c r="D77" s="62">
        <v>2467</v>
      </c>
      <c r="E77" s="593">
        <v>0.40500000000000003</v>
      </c>
      <c r="F77" s="624">
        <v>290</v>
      </c>
      <c r="G77" s="241" t="s">
        <v>281</v>
      </c>
    </row>
    <row r="78" spans="1:16" ht="14.25" customHeight="1">
      <c r="A78" s="809" t="s">
        <v>283</v>
      </c>
      <c r="B78" s="811">
        <v>3538</v>
      </c>
      <c r="C78" s="589">
        <v>0.47899999999999998</v>
      </c>
      <c r="D78" s="62">
        <v>3988</v>
      </c>
      <c r="E78" s="593">
        <v>0.51400000000000001</v>
      </c>
      <c r="F78" s="624">
        <v>450</v>
      </c>
      <c r="G78" s="595" t="s">
        <v>284</v>
      </c>
    </row>
    <row r="79" spans="1:16" ht="14.1" customHeight="1">
      <c r="A79" s="610" t="s">
        <v>285</v>
      </c>
      <c r="B79" s="624">
        <v>16477</v>
      </c>
      <c r="C79" s="589">
        <v>0.8</v>
      </c>
      <c r="D79" s="62">
        <v>18188</v>
      </c>
      <c r="E79" s="593">
        <v>0.80200000000000005</v>
      </c>
      <c r="F79" s="624">
        <v>1711</v>
      </c>
      <c r="G79" s="241" t="s">
        <v>226</v>
      </c>
      <c r="P79" s="1"/>
    </row>
    <row r="80" spans="1:16" ht="29.1" customHeight="1">
      <c r="P80" s="1"/>
    </row>
    <row r="81" spans="1:16" ht="15">
      <c r="A81" s="660" t="s">
        <v>286</v>
      </c>
      <c r="B81" s="661"/>
      <c r="C81" s="661"/>
      <c r="D81" s="661"/>
      <c r="E81" s="661"/>
      <c r="F81" s="661"/>
      <c r="G81" s="661"/>
      <c r="H81" s="662"/>
      <c r="I81"/>
      <c r="P81" s="1"/>
    </row>
    <row r="82" spans="1:16" ht="28.5">
      <c r="A82" s="43"/>
      <c r="B82" s="192" t="s">
        <v>214</v>
      </c>
      <c r="C82" s="192"/>
      <c r="D82" s="192" t="s">
        <v>197</v>
      </c>
      <c r="E82" s="192"/>
      <c r="F82" s="192" t="s">
        <v>198</v>
      </c>
      <c r="G82" s="186"/>
      <c r="H82" s="105" t="s">
        <v>199</v>
      </c>
      <c r="P82" s="1"/>
    </row>
    <row r="83" spans="1:16">
      <c r="A83" s="611" t="s">
        <v>275</v>
      </c>
      <c r="B83" s="175" t="s">
        <v>201</v>
      </c>
      <c r="C83" s="175" t="s">
        <v>202</v>
      </c>
      <c r="D83" s="175" t="s">
        <v>201</v>
      </c>
      <c r="E83" s="175" t="s">
        <v>202</v>
      </c>
      <c r="F83" s="175" t="s">
        <v>201</v>
      </c>
      <c r="G83" s="175" t="s">
        <v>203</v>
      </c>
      <c r="H83" s="176" t="s">
        <v>202</v>
      </c>
      <c r="P83" s="1"/>
    </row>
    <row r="84" spans="1:16" ht="15">
      <c r="A84" s="610" t="s">
        <v>216</v>
      </c>
      <c r="B84" s="62">
        <v>9237</v>
      </c>
      <c r="C84" s="64">
        <v>0.61199999999999999</v>
      </c>
      <c r="D84" s="62">
        <v>9472</v>
      </c>
      <c r="E84" s="64">
        <v>0.59499999999999997</v>
      </c>
      <c r="F84" s="624">
        <v>235</v>
      </c>
      <c r="G84" s="231" t="s">
        <v>287</v>
      </c>
      <c r="H84" s="116"/>
      <c r="P84" s="1"/>
    </row>
    <row r="85" spans="1:16" ht="15">
      <c r="A85" s="610" t="s">
        <v>218</v>
      </c>
      <c r="B85" s="62">
        <v>5861</v>
      </c>
      <c r="C85" s="64">
        <v>0.38800000000000001</v>
      </c>
      <c r="D85" s="62">
        <v>6460</v>
      </c>
      <c r="E85" s="64">
        <v>0.40500000000000003</v>
      </c>
      <c r="F85" s="624">
        <v>599</v>
      </c>
      <c r="G85" s="230" t="s">
        <v>21</v>
      </c>
      <c r="H85" s="116">
        <v>0.35</v>
      </c>
      <c r="P85" s="1"/>
    </row>
    <row r="86" spans="1:16" ht="15">
      <c r="A86" s="75" t="s">
        <v>209</v>
      </c>
      <c r="B86" s="62">
        <v>15098</v>
      </c>
      <c r="C86" s="64">
        <v>1</v>
      </c>
      <c r="D86" s="62">
        <v>15932</v>
      </c>
      <c r="E86" s="64">
        <v>1</v>
      </c>
      <c r="F86" s="62">
        <v>834</v>
      </c>
      <c r="G86" s="232" t="s">
        <v>210</v>
      </c>
      <c r="H86" s="114"/>
      <c r="P86" s="1"/>
    </row>
    <row r="87" spans="1:16" ht="15">
      <c r="A87" s="657"/>
      <c r="B87" s="658"/>
      <c r="C87" s="658"/>
      <c r="D87" s="658"/>
      <c r="E87" s="658"/>
      <c r="F87" s="658"/>
      <c r="G87" s="658"/>
      <c r="H87" s="659"/>
      <c r="P87" s="1"/>
    </row>
    <row r="88" spans="1:16" ht="28.5">
      <c r="A88" s="610" t="s">
        <v>220</v>
      </c>
      <c r="B88" s="62">
        <v>51</v>
      </c>
      <c r="C88" s="193" t="s">
        <v>222</v>
      </c>
      <c r="D88" s="62">
        <v>51</v>
      </c>
      <c r="E88" s="193" t="s">
        <v>222</v>
      </c>
      <c r="F88" s="624">
        <v>0</v>
      </c>
      <c r="G88" s="230" t="s">
        <v>219</v>
      </c>
      <c r="H88" s="625"/>
      <c r="P88" s="1"/>
    </row>
    <row r="89" spans="1:16" ht="14.25" customHeight="1">
      <c r="A89" s="610" t="s">
        <v>223</v>
      </c>
      <c r="B89" s="62">
        <v>2561</v>
      </c>
      <c r="C89" s="193" t="s">
        <v>288</v>
      </c>
      <c r="D89" s="62">
        <v>2877</v>
      </c>
      <c r="E89" s="193" t="s">
        <v>289</v>
      </c>
      <c r="F89" s="624">
        <v>316</v>
      </c>
      <c r="G89" s="230" t="s">
        <v>290</v>
      </c>
      <c r="H89" s="625"/>
    </row>
    <row r="90" spans="1:16" ht="28.5">
      <c r="A90" s="610" t="s">
        <v>227</v>
      </c>
      <c r="B90" s="62">
        <v>1063</v>
      </c>
      <c r="C90" s="193" t="s">
        <v>291</v>
      </c>
      <c r="D90" s="62">
        <v>1190</v>
      </c>
      <c r="E90" s="193" t="s">
        <v>292</v>
      </c>
      <c r="F90" s="624">
        <v>127</v>
      </c>
      <c r="G90" s="230" t="s">
        <v>293</v>
      </c>
      <c r="H90" s="114"/>
    </row>
    <row r="91" spans="1:16" ht="31.5" customHeight="1">
      <c r="A91" s="19" t="s">
        <v>230</v>
      </c>
      <c r="B91" s="181">
        <v>1220</v>
      </c>
      <c r="C91" s="194" t="s">
        <v>294</v>
      </c>
      <c r="D91" s="181">
        <v>1365</v>
      </c>
      <c r="E91" s="194" t="s">
        <v>295</v>
      </c>
      <c r="F91" s="180">
        <v>145</v>
      </c>
      <c r="G91" s="233" t="s">
        <v>25</v>
      </c>
      <c r="H91" s="115"/>
      <c r="I91" s="78"/>
    </row>
    <row r="92" spans="1:16" ht="28.5">
      <c r="A92" s="610" t="s">
        <v>233</v>
      </c>
      <c r="B92" s="178">
        <v>53</v>
      </c>
      <c r="C92" s="194" t="s">
        <v>221</v>
      </c>
      <c r="D92" s="178">
        <v>65</v>
      </c>
      <c r="E92" s="194" t="s">
        <v>221</v>
      </c>
      <c r="F92" s="180">
        <v>12</v>
      </c>
      <c r="G92" s="233" t="s">
        <v>226</v>
      </c>
      <c r="H92" s="115"/>
      <c r="I92"/>
    </row>
    <row r="93" spans="1:16" ht="28.5">
      <c r="A93" s="610" t="s">
        <v>236</v>
      </c>
      <c r="B93" s="181">
        <v>913</v>
      </c>
      <c r="C93" s="194" t="s">
        <v>296</v>
      </c>
      <c r="D93" s="181">
        <v>912</v>
      </c>
      <c r="E93" s="194" t="s">
        <v>297</v>
      </c>
      <c r="F93" s="180">
        <v>-1</v>
      </c>
      <c r="G93" s="233" t="s">
        <v>206</v>
      </c>
      <c r="H93" s="115"/>
    </row>
    <row r="94" spans="1:16" ht="14.1" customHeight="1">
      <c r="A94" s="610" t="s">
        <v>239</v>
      </c>
      <c r="B94" s="178">
        <v>170</v>
      </c>
      <c r="C94" s="194" t="s">
        <v>298</v>
      </c>
      <c r="D94" s="178">
        <v>273</v>
      </c>
      <c r="E94" s="194" t="s">
        <v>258</v>
      </c>
      <c r="F94" s="180">
        <v>103</v>
      </c>
      <c r="G94" s="233" t="s">
        <v>252</v>
      </c>
      <c r="H94" s="115"/>
    </row>
    <row r="95" spans="1:16" ht="14.1" customHeight="1">
      <c r="A95" s="610" t="s">
        <v>242</v>
      </c>
      <c r="B95" s="181">
        <v>9067</v>
      </c>
      <c r="C95" s="195" t="s">
        <v>299</v>
      </c>
      <c r="D95" s="181">
        <v>9199</v>
      </c>
      <c r="E95" s="195" t="s">
        <v>300</v>
      </c>
      <c r="F95" s="288">
        <v>132</v>
      </c>
      <c r="G95" s="234" t="s">
        <v>301</v>
      </c>
      <c r="H95" s="115"/>
    </row>
    <row r="96" spans="1:16" ht="14.1" customHeight="1">
      <c r="A96" s="75" t="s">
        <v>209</v>
      </c>
      <c r="B96" s="181">
        <v>15098</v>
      </c>
      <c r="C96" s="179">
        <v>1</v>
      </c>
      <c r="D96" s="181">
        <v>15932</v>
      </c>
      <c r="E96" s="179">
        <v>1</v>
      </c>
      <c r="F96" s="181">
        <v>834</v>
      </c>
      <c r="G96" s="235" t="s">
        <v>210</v>
      </c>
      <c r="H96" s="115"/>
    </row>
    <row r="97" spans="1:16" ht="15">
      <c r="I97"/>
    </row>
    <row r="98" spans="1:16" ht="15">
      <c r="A98" s="663" t="s">
        <v>302</v>
      </c>
      <c r="B98" s="664"/>
      <c r="C98" s="664"/>
      <c r="D98" s="664"/>
      <c r="E98" s="665"/>
      <c r="F98" s="83"/>
      <c r="G98" s="83"/>
      <c r="I98"/>
    </row>
    <row r="99" spans="1:16" ht="15">
      <c r="A99" s="37"/>
      <c r="B99" s="139" t="s">
        <v>214</v>
      </c>
      <c r="C99" s="46"/>
      <c r="D99" s="139" t="s">
        <v>197</v>
      </c>
      <c r="E99" s="46"/>
      <c r="F99" s="141"/>
      <c r="G99" s="141"/>
      <c r="I99"/>
    </row>
    <row r="100" spans="1:16" ht="15">
      <c r="A100" s="140" t="s">
        <v>200</v>
      </c>
      <c r="B100" s="139" t="s">
        <v>201</v>
      </c>
      <c r="C100" s="46" t="s">
        <v>202</v>
      </c>
      <c r="D100" s="139" t="s">
        <v>201</v>
      </c>
      <c r="E100" s="46" t="s">
        <v>202</v>
      </c>
      <c r="F100" s="108"/>
      <c r="G100" s="108"/>
    </row>
    <row r="101" spans="1:16" ht="15">
      <c r="A101" s="50" t="s">
        <v>205</v>
      </c>
      <c r="B101" s="596">
        <v>4</v>
      </c>
      <c r="C101" s="597" t="s">
        <v>303</v>
      </c>
      <c r="D101" s="196">
        <v>4</v>
      </c>
      <c r="E101" s="204" t="s">
        <v>304</v>
      </c>
      <c r="F101" s="71"/>
      <c r="G101" s="72"/>
    </row>
    <row r="102" spans="1:16" ht="15">
      <c r="A102" s="50" t="s">
        <v>207</v>
      </c>
      <c r="B102" s="596">
        <v>7</v>
      </c>
      <c r="C102" s="597" t="s">
        <v>305</v>
      </c>
      <c r="D102" s="196">
        <v>8</v>
      </c>
      <c r="E102" s="204" t="s">
        <v>306</v>
      </c>
      <c r="F102" s="71"/>
      <c r="G102" s="72"/>
    </row>
    <row r="103" spans="1:16" ht="15">
      <c r="A103" s="77" t="s">
        <v>209</v>
      </c>
      <c r="B103" s="598">
        <v>11</v>
      </c>
      <c r="C103" s="116">
        <v>1</v>
      </c>
      <c r="D103" s="199">
        <v>12</v>
      </c>
      <c r="E103" s="599">
        <v>1</v>
      </c>
      <c r="F103" s="73"/>
      <c r="G103" s="85"/>
    </row>
    <row r="104" spans="1:16" ht="15">
      <c r="A104" s="42"/>
      <c r="B104" s="44"/>
      <c r="C104" s="44"/>
      <c r="D104" s="44"/>
      <c r="E104" s="44"/>
      <c r="F104" s="4"/>
      <c r="G104" s="4"/>
    </row>
    <row r="105" spans="1:16" ht="15">
      <c r="A105" s="168" t="s">
        <v>307</v>
      </c>
      <c r="B105" s="626"/>
      <c r="C105" s="200"/>
      <c r="D105" s="626"/>
      <c r="E105" s="200"/>
      <c r="F105" s="84"/>
      <c r="G105" s="84"/>
    </row>
    <row r="106" spans="1:16" ht="14.25" customHeight="1">
      <c r="A106" s="48" t="s">
        <v>308</v>
      </c>
      <c r="B106" s="600">
        <v>0</v>
      </c>
      <c r="C106" s="116">
        <v>0</v>
      </c>
      <c r="D106" s="201">
        <v>0</v>
      </c>
      <c r="E106" s="202">
        <v>0</v>
      </c>
      <c r="F106" s="11"/>
      <c r="G106" s="11"/>
    </row>
    <row r="107" spans="1:16" ht="14.25" customHeight="1">
      <c r="A107" s="48" t="s">
        <v>309</v>
      </c>
      <c r="B107" s="623">
        <v>3</v>
      </c>
      <c r="C107" s="197" t="s">
        <v>310</v>
      </c>
      <c r="D107" s="203">
        <v>3</v>
      </c>
      <c r="E107" s="198" t="s">
        <v>311</v>
      </c>
      <c r="F107" s="71"/>
      <c r="G107" s="72"/>
      <c r="I107" s="83"/>
      <c r="J107" s="99"/>
      <c r="K107" s="99"/>
      <c r="L107" s="99"/>
      <c r="M107" s="99"/>
      <c r="N107" s="99"/>
      <c r="O107" s="1"/>
      <c r="P107" s="1"/>
    </row>
    <row r="108" spans="1:16" ht="15">
      <c r="A108" s="48" t="s">
        <v>312</v>
      </c>
      <c r="B108" s="596">
        <v>0</v>
      </c>
      <c r="C108" s="812">
        <v>0</v>
      </c>
      <c r="D108" s="196">
        <v>0</v>
      </c>
      <c r="E108" s="205">
        <v>0</v>
      </c>
      <c r="F108" s="71"/>
      <c r="G108" s="72"/>
      <c r="I108" s="1"/>
      <c r="J108" s="100"/>
      <c r="K108" s="100"/>
      <c r="L108" s="100"/>
      <c r="M108" s="100"/>
      <c r="N108" s="100"/>
      <c r="O108" s="1"/>
      <c r="P108" s="1"/>
    </row>
    <row r="109" spans="1:16" ht="15">
      <c r="A109" s="49" t="s">
        <v>230</v>
      </c>
      <c r="B109" s="600">
        <v>0</v>
      </c>
      <c r="C109" s="812">
        <v>0</v>
      </c>
      <c r="D109" s="201">
        <v>1</v>
      </c>
      <c r="E109" s="601">
        <v>8.3000000000000004E-2</v>
      </c>
      <c r="F109" s="11"/>
      <c r="G109" s="11"/>
      <c r="I109" s="1"/>
      <c r="J109" s="84"/>
      <c r="K109" s="84"/>
      <c r="L109" s="84"/>
      <c r="M109" s="84"/>
      <c r="N109" s="84"/>
      <c r="O109" s="1"/>
      <c r="P109" s="1"/>
    </row>
    <row r="110" spans="1:16" ht="28.5">
      <c r="A110" s="48" t="s">
        <v>313</v>
      </c>
      <c r="B110" s="600">
        <v>0</v>
      </c>
      <c r="C110" s="812">
        <v>0</v>
      </c>
      <c r="D110" s="201">
        <v>0</v>
      </c>
      <c r="E110" s="205">
        <v>0</v>
      </c>
      <c r="F110" s="11"/>
      <c r="G110" s="11"/>
      <c r="I110" s="1"/>
      <c r="J110" s="85"/>
      <c r="K110" s="85"/>
      <c r="L110" s="85"/>
      <c r="M110" s="85"/>
      <c r="N110" s="85"/>
      <c r="O110" s="1"/>
      <c r="P110" s="1"/>
    </row>
    <row r="111" spans="1:16" ht="15">
      <c r="A111" s="48" t="s">
        <v>314</v>
      </c>
      <c r="B111" s="600">
        <v>0</v>
      </c>
      <c r="C111" s="812">
        <v>0</v>
      </c>
      <c r="D111" s="201">
        <v>0</v>
      </c>
      <c r="E111" s="205">
        <v>0</v>
      </c>
      <c r="F111" s="11"/>
      <c r="G111" s="11"/>
      <c r="I111" s="1"/>
      <c r="J111" s="85"/>
      <c r="K111" s="85"/>
      <c r="L111" s="85"/>
      <c r="M111" s="85"/>
      <c r="N111" s="85"/>
      <c r="O111" s="1"/>
      <c r="P111" s="1"/>
    </row>
    <row r="112" spans="1:16" s="21" customFormat="1" ht="15">
      <c r="A112" s="48" t="s">
        <v>239</v>
      </c>
      <c r="B112" s="600">
        <v>0</v>
      </c>
      <c r="C112" s="812">
        <v>0</v>
      </c>
      <c r="D112" s="201">
        <v>0</v>
      </c>
      <c r="E112" s="205">
        <v>0</v>
      </c>
      <c r="F112" s="11"/>
      <c r="G112" s="11"/>
      <c r="H112" s="5"/>
      <c r="J112" s="85"/>
      <c r="K112" s="85"/>
      <c r="L112" s="85"/>
      <c r="M112" s="85"/>
      <c r="N112" s="85"/>
    </row>
    <row r="113" spans="1:16" ht="15">
      <c r="A113" s="48" t="s">
        <v>315</v>
      </c>
      <c r="B113" s="596">
        <v>8</v>
      </c>
      <c r="C113" s="813">
        <v>0.72699999999999998</v>
      </c>
      <c r="D113" s="196">
        <v>8</v>
      </c>
      <c r="E113" s="602">
        <v>0.66700000000000004</v>
      </c>
      <c r="F113" s="71"/>
      <c r="G113" s="72"/>
      <c r="O113" s="1"/>
      <c r="P113" s="1"/>
    </row>
    <row r="114" spans="1:16" ht="15">
      <c r="A114" s="76" t="s">
        <v>209</v>
      </c>
      <c r="B114" s="596">
        <v>11</v>
      </c>
      <c r="C114" s="812">
        <v>1</v>
      </c>
      <c r="D114" s="196">
        <v>12</v>
      </c>
      <c r="E114" s="205">
        <v>100</v>
      </c>
      <c r="F114" s="73"/>
      <c r="G114" s="85"/>
      <c r="I114" s="84"/>
      <c r="J114" s="84"/>
      <c r="K114" s="84"/>
      <c r="L114" s="84"/>
      <c r="M114" s="84"/>
      <c r="N114" s="84"/>
      <c r="O114" s="1"/>
      <c r="P114" s="1"/>
    </row>
    <row r="115" spans="1:16" s="9" customFormat="1" ht="33" customHeight="1">
      <c r="A115" s="605"/>
      <c r="B115" s="65"/>
      <c r="C115" s="65"/>
      <c r="D115" s="65"/>
      <c r="E115" s="65"/>
      <c r="F115" s="65"/>
      <c r="G115" s="65"/>
      <c r="H115" s="65"/>
      <c r="I115" s="11"/>
      <c r="J115" s="11"/>
      <c r="K115" s="11"/>
      <c r="L115" s="11"/>
      <c r="M115" s="11"/>
      <c r="N115" s="11"/>
      <c r="O115" s="605"/>
      <c r="P115" s="605"/>
    </row>
    <row r="116" spans="1:16" ht="15">
      <c r="A116" s="229" t="s">
        <v>316</v>
      </c>
      <c r="I116" s="85"/>
      <c r="J116" s="85"/>
      <c r="K116" s="85"/>
      <c r="L116" s="85"/>
      <c r="M116" s="85"/>
      <c r="N116" s="85"/>
      <c r="O116" s="1"/>
      <c r="P116" s="1"/>
    </row>
    <row r="117" spans="1:16" ht="15">
      <c r="A117" s="229" t="s">
        <v>317</v>
      </c>
      <c r="I117" s="72"/>
      <c r="J117" s="85"/>
      <c r="K117" s="85"/>
      <c r="L117" s="85"/>
      <c r="M117" s="85"/>
      <c r="N117" s="85"/>
      <c r="O117" s="1"/>
      <c r="P117" s="1"/>
    </row>
    <row r="118" spans="1:16">
      <c r="A118" s="229" t="s">
        <v>318</v>
      </c>
      <c r="I118" s="11"/>
      <c r="J118" s="11"/>
      <c r="K118" s="11"/>
      <c r="L118" s="11"/>
      <c r="M118" s="11"/>
      <c r="N118" s="11"/>
      <c r="O118" s="1"/>
      <c r="P118" s="1"/>
    </row>
    <row r="119" spans="1:16">
      <c r="A119" s="810" t="s">
        <v>319</v>
      </c>
      <c r="I119" s="11"/>
      <c r="J119" s="11"/>
      <c r="K119" s="11"/>
      <c r="L119" s="11"/>
      <c r="M119" s="11"/>
      <c r="N119" s="11"/>
      <c r="O119" s="1"/>
      <c r="P119" s="1"/>
    </row>
    <row r="120" spans="1:16">
      <c r="A120" s="5"/>
      <c r="I120" s="11"/>
      <c r="J120" s="11"/>
      <c r="K120" s="11"/>
      <c r="L120" s="11"/>
      <c r="M120" s="11"/>
      <c r="N120" s="11"/>
      <c r="O120" s="1"/>
      <c r="P120" s="1"/>
    </row>
    <row r="121" spans="1:16">
      <c r="A121" s="5"/>
      <c r="I121" s="11"/>
      <c r="J121" s="11"/>
      <c r="K121" s="11"/>
      <c r="L121" s="11"/>
      <c r="M121" s="11"/>
      <c r="N121" s="11"/>
      <c r="O121" s="1"/>
      <c r="P121" s="1"/>
    </row>
    <row r="122" spans="1:16" ht="15">
      <c r="A122" s="5"/>
      <c r="I122" s="65"/>
      <c r="J122" s="85"/>
      <c r="K122" s="85"/>
      <c r="L122" s="85"/>
      <c r="M122" s="85"/>
      <c r="N122" s="85"/>
      <c r="O122" s="1"/>
      <c r="P122" s="1"/>
    </row>
    <row r="123" spans="1:16" s="21" customFormat="1" ht="15">
      <c r="A123" s="5"/>
      <c r="B123" s="5"/>
      <c r="C123" s="5"/>
      <c r="D123" s="5"/>
      <c r="E123" s="5"/>
      <c r="F123" s="5"/>
      <c r="G123" s="5"/>
      <c r="H123" s="5"/>
      <c r="I123" s="85"/>
      <c r="J123" s="85"/>
      <c r="K123" s="85"/>
      <c r="L123" s="85"/>
      <c r="M123" s="85"/>
      <c r="N123" s="85"/>
    </row>
    <row r="124" spans="1:16" ht="15">
      <c r="A124" s="5"/>
      <c r="I124" s="65"/>
      <c r="K124" s="65"/>
      <c r="L124" s="65"/>
      <c r="M124" s="65"/>
      <c r="N124" s="65"/>
      <c r="O124" s="65"/>
      <c r="P124" s="65"/>
    </row>
    <row r="125" spans="1:16" ht="15">
      <c r="A125" s="5"/>
      <c r="I125" s="65"/>
      <c r="K125" s="1"/>
      <c r="L125" s="1"/>
      <c r="M125" s="1"/>
      <c r="N125" s="1"/>
      <c r="O125" s="1"/>
      <c r="P125" s="1"/>
    </row>
    <row r="126" spans="1:16" ht="15">
      <c r="A126" s="5"/>
      <c r="I126" s="84"/>
      <c r="K126" s="1"/>
      <c r="L126" s="1"/>
      <c r="M126" s="1"/>
      <c r="N126" s="1"/>
      <c r="O126" s="1"/>
      <c r="P126" s="1"/>
    </row>
    <row r="127" spans="1:16" ht="15">
      <c r="A127" s="5"/>
      <c r="I127" s="65"/>
      <c r="K127" s="1"/>
      <c r="L127" s="1"/>
      <c r="M127" s="1"/>
      <c r="N127" s="1"/>
      <c r="O127" s="1"/>
      <c r="P127" s="1"/>
    </row>
    <row r="128" spans="1:16" ht="15">
      <c r="A128" s="5"/>
      <c r="I128" s="65"/>
      <c r="K128" s="1"/>
      <c r="L128" s="1"/>
      <c r="M128" s="1"/>
      <c r="N128" s="1"/>
      <c r="O128" s="1"/>
      <c r="P128" s="1"/>
    </row>
    <row r="129" spans="1:16">
      <c r="A129" s="5"/>
      <c r="K129" s="1"/>
      <c r="L129" s="1"/>
      <c r="M129" s="1"/>
      <c r="N129" s="1"/>
      <c r="O129" s="1"/>
      <c r="P129" s="1"/>
    </row>
    <row r="130" spans="1:16">
      <c r="A130" s="5"/>
      <c r="K130" s="1"/>
      <c r="L130" s="1"/>
      <c r="M130" s="1"/>
      <c r="N130" s="1"/>
      <c r="O130" s="1"/>
      <c r="P130" s="1"/>
    </row>
    <row r="131" spans="1:16">
      <c r="A131" s="5"/>
      <c r="K131" s="1"/>
      <c r="L131" s="1"/>
      <c r="M131" s="1"/>
      <c r="N131" s="1"/>
      <c r="O131" s="1"/>
      <c r="P131" s="1"/>
    </row>
    <row r="132" spans="1:16">
      <c r="A132" s="5"/>
      <c r="K132" s="1"/>
      <c r="L132" s="1"/>
      <c r="M132" s="1"/>
      <c r="N132" s="1"/>
      <c r="O132" s="1"/>
      <c r="P132" s="1"/>
    </row>
    <row r="133" spans="1:16" ht="14.25" customHeight="1">
      <c r="A133" s="5"/>
      <c r="I133" s="99"/>
      <c r="K133" s="1"/>
      <c r="L133" s="1"/>
      <c r="M133" s="1"/>
      <c r="N133" s="1"/>
      <c r="O133" s="1"/>
      <c r="P133" s="1"/>
    </row>
    <row r="134" spans="1:16" ht="14.25" customHeight="1">
      <c r="A134" s="5"/>
      <c r="I134" s="99"/>
      <c r="K134" s="1"/>
      <c r="L134" s="1"/>
      <c r="M134" s="1"/>
      <c r="N134" s="1"/>
      <c r="O134" s="1"/>
      <c r="P134" s="1"/>
    </row>
    <row r="135" spans="1:16">
      <c r="A135" s="5"/>
      <c r="K135" s="1"/>
      <c r="L135" s="1"/>
      <c r="M135" s="1"/>
      <c r="N135" s="1"/>
      <c r="O135" s="1"/>
      <c r="P135" s="1"/>
    </row>
    <row r="136" spans="1:16">
      <c r="A136" s="5"/>
      <c r="K136" s="1"/>
      <c r="L136" s="1"/>
      <c r="M136" s="1"/>
      <c r="N136" s="1"/>
      <c r="O136" s="1"/>
      <c r="P136" s="1"/>
    </row>
    <row r="137" spans="1:16">
      <c r="A137" s="5"/>
      <c r="K137" s="1"/>
      <c r="L137" s="1"/>
      <c r="M137" s="1"/>
      <c r="N137" s="1"/>
      <c r="O137" s="1"/>
      <c r="P137" s="1"/>
    </row>
    <row r="138" spans="1:16">
      <c r="A138" s="5"/>
      <c r="K138" s="1"/>
      <c r="L138" s="1"/>
      <c r="M138" s="1"/>
      <c r="N138" s="1"/>
      <c r="O138" s="1"/>
      <c r="P138" s="1"/>
    </row>
    <row r="139" spans="1:16">
      <c r="A139" s="5"/>
      <c r="K139" s="1"/>
      <c r="L139" s="1"/>
      <c r="M139" s="1"/>
      <c r="N139" s="1"/>
      <c r="O139" s="1"/>
      <c r="P139" s="1"/>
    </row>
    <row r="140" spans="1:16">
      <c r="A140" s="5"/>
      <c r="K140" s="1"/>
      <c r="L140" s="1"/>
      <c r="M140" s="1"/>
      <c r="N140" s="1"/>
      <c r="O140" s="1"/>
      <c r="P140" s="1"/>
    </row>
    <row r="141" spans="1:16">
      <c r="A141" s="5"/>
      <c r="K141" s="1"/>
      <c r="L141" s="1"/>
      <c r="M141" s="1"/>
      <c r="N141" s="1"/>
      <c r="O141" s="1"/>
      <c r="P141" s="1"/>
    </row>
    <row r="142" spans="1:16">
      <c r="A142" s="5"/>
      <c r="K142" s="1"/>
      <c r="L142" s="1"/>
      <c r="M142" s="1"/>
      <c r="N142" s="1"/>
      <c r="O142" s="1"/>
      <c r="P142" s="1"/>
    </row>
    <row r="143" spans="1:16">
      <c r="K143" s="1"/>
      <c r="L143" s="1"/>
      <c r="M143" s="1"/>
      <c r="N143" s="1"/>
      <c r="O143" s="1"/>
      <c r="P143" s="1"/>
    </row>
    <row r="144" spans="1:16">
      <c r="K144" s="1"/>
      <c r="L144" s="1"/>
      <c r="M144" s="1"/>
      <c r="N144" s="1"/>
      <c r="O144" s="1"/>
      <c r="P144" s="1"/>
    </row>
    <row r="145" spans="11:16">
      <c r="K145" s="1"/>
      <c r="L145" s="1"/>
      <c r="M145" s="1"/>
      <c r="N145" s="1"/>
      <c r="O145" s="1"/>
      <c r="P145" s="1"/>
    </row>
    <row r="146" spans="11:16" ht="14.85" customHeight="1">
      <c r="K146" s="1"/>
      <c r="L146" s="1"/>
      <c r="M146" s="1"/>
      <c r="N146" s="1"/>
      <c r="O146" s="1"/>
      <c r="P146" s="1"/>
    </row>
    <row r="147" spans="11:16">
      <c r="K147" s="1"/>
      <c r="L147" s="1"/>
      <c r="M147" s="1"/>
      <c r="N147" s="1"/>
      <c r="O147" s="1"/>
      <c r="P147" s="1"/>
    </row>
    <row r="148" spans="11:16">
      <c r="K148" s="1"/>
      <c r="L148" s="1"/>
      <c r="M148" s="1"/>
      <c r="N148" s="1"/>
      <c r="O148" s="1"/>
      <c r="P148" s="1"/>
    </row>
    <row r="149" spans="11:16">
      <c r="K149" s="1"/>
      <c r="L149" s="1"/>
      <c r="M149" s="1"/>
      <c r="N149" s="1"/>
      <c r="O149" s="1"/>
      <c r="P149" s="1"/>
    </row>
    <row r="150" spans="11:16">
      <c r="K150" s="1"/>
      <c r="L150" s="1"/>
      <c r="M150" s="1"/>
      <c r="N150" s="1"/>
      <c r="O150" s="1"/>
      <c r="P150" s="1"/>
    </row>
    <row r="151" spans="11:16" ht="14.1" customHeight="1">
      <c r="K151" s="1"/>
      <c r="L151" s="1"/>
      <c r="M151" s="1"/>
      <c r="N151" s="1"/>
      <c r="O151" s="1"/>
      <c r="P151" s="1"/>
    </row>
    <row r="152" spans="11:16">
      <c r="K152" s="1"/>
      <c r="L152" s="1"/>
      <c r="M152" s="1"/>
      <c r="N152" s="1"/>
      <c r="O152" s="1"/>
      <c r="P152" s="1"/>
    </row>
    <row r="153" spans="11:16">
      <c r="K153" s="1"/>
      <c r="L153" s="1"/>
      <c r="M153" s="1"/>
      <c r="N153" s="1"/>
      <c r="O153" s="1"/>
      <c r="P153" s="1"/>
    </row>
    <row r="154" spans="11:16">
      <c r="K154" s="1"/>
      <c r="L154" s="1"/>
      <c r="M154" s="1"/>
      <c r="N154" s="1"/>
      <c r="O154" s="1"/>
      <c r="P154" s="1"/>
    </row>
    <row r="155" spans="11:16">
      <c r="K155" s="1"/>
      <c r="L155" s="1"/>
      <c r="M155" s="1"/>
      <c r="N155" s="1"/>
      <c r="O155" s="1"/>
      <c r="P155" s="1"/>
    </row>
    <row r="156" spans="11:16" ht="14.1" customHeight="1">
      <c r="K156" s="1"/>
      <c r="L156" s="1"/>
      <c r="M156" s="1"/>
      <c r="N156" s="1"/>
      <c r="O156" s="1"/>
      <c r="P156" s="1"/>
    </row>
    <row r="157" spans="11:16">
      <c r="K157" s="1"/>
      <c r="L157" s="1"/>
      <c r="M157" s="1"/>
      <c r="N157" s="1"/>
      <c r="O157" s="1"/>
      <c r="P157" s="1"/>
    </row>
    <row r="158" spans="11:16">
      <c r="K158" s="1"/>
      <c r="L158" s="1"/>
      <c r="M158" s="1"/>
      <c r="N158" s="1"/>
      <c r="O158" s="1"/>
      <c r="P158" s="1"/>
    </row>
    <row r="159" spans="11:16">
      <c r="K159" s="1"/>
      <c r="L159" s="1"/>
      <c r="M159" s="1"/>
      <c r="N159" s="1"/>
      <c r="O159" s="1"/>
      <c r="P159" s="1"/>
    </row>
    <row r="160" spans="11:16">
      <c r="K160" s="1"/>
      <c r="L160" s="1"/>
      <c r="M160" s="1"/>
      <c r="N160" s="1"/>
      <c r="O160" s="1"/>
      <c r="P160" s="1"/>
    </row>
    <row r="161" spans="11:16">
      <c r="K161" s="1"/>
      <c r="L161" s="1"/>
      <c r="M161" s="1"/>
      <c r="N161" s="1"/>
      <c r="O161" s="1"/>
      <c r="P161" s="1"/>
    </row>
    <row r="162" spans="11:16">
      <c r="K162" s="1"/>
      <c r="L162" s="1"/>
      <c r="M162" s="1"/>
      <c r="N162" s="1"/>
      <c r="O162" s="1"/>
      <c r="P162" s="1"/>
    </row>
  </sheetData>
  <mergeCells count="14">
    <mergeCell ref="A98:E98"/>
    <mergeCell ref="A87:H87"/>
    <mergeCell ref="A59:H59"/>
    <mergeCell ref="A81:H81"/>
    <mergeCell ref="A70:G70"/>
    <mergeCell ref="A1:H1"/>
    <mergeCell ref="A2:H2"/>
    <mergeCell ref="A42:H42"/>
    <mergeCell ref="A53:H53"/>
    <mergeCell ref="A5:H5"/>
    <mergeCell ref="A13:H13"/>
    <mergeCell ref="A19:H19"/>
    <mergeCell ref="A25:H25"/>
    <mergeCell ref="A36:H36"/>
  </mergeCells>
  <phoneticPr fontId="23"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G38"/>
  <sheetViews>
    <sheetView zoomScaleNormal="100" workbookViewId="0"/>
  </sheetViews>
  <sheetFormatPr defaultColWidth="8.42578125" defaultRowHeight="14.25" customHeight="1"/>
  <cols>
    <col min="1" max="1" width="39.42578125" style="1" customWidth="1"/>
    <col min="2" max="2" width="16.42578125" style="1" customWidth="1"/>
    <col min="3" max="3" width="10.140625" style="1" customWidth="1"/>
    <col min="4" max="6" width="10.42578125" style="1" customWidth="1"/>
    <col min="7" max="7" width="8.42578125" style="1"/>
    <col min="8" max="8" width="35.42578125" style="1" customWidth="1"/>
    <col min="9" max="16384" width="8.42578125" style="1"/>
  </cols>
  <sheetData>
    <row r="1" spans="1:6" ht="17.25" customHeight="1">
      <c r="A1" s="2" t="s">
        <v>320</v>
      </c>
    </row>
    <row r="2" spans="1:6" ht="36" customHeight="1">
      <c r="A2" s="669" t="s">
        <v>321</v>
      </c>
      <c r="B2" s="670"/>
      <c r="C2" s="670"/>
      <c r="D2" s="670"/>
      <c r="E2" s="250"/>
      <c r="F2" s="250"/>
    </row>
    <row r="3" spans="1:6" ht="14.1">
      <c r="A3" s="17" t="s">
        <v>322</v>
      </c>
      <c r="B3" s="58"/>
      <c r="C3" s="283" t="s">
        <v>323</v>
      </c>
      <c r="D3" s="283" t="s">
        <v>324</v>
      </c>
      <c r="E3" s="283" t="s">
        <v>325</v>
      </c>
      <c r="F3" s="283" t="s">
        <v>197</v>
      </c>
    </row>
    <row r="4" spans="1:6" ht="14.1">
      <c r="A4" s="671" t="s">
        <v>326</v>
      </c>
      <c r="B4" s="672"/>
      <c r="C4" s="672"/>
      <c r="D4" s="672"/>
      <c r="E4" s="612"/>
      <c r="F4" s="612"/>
    </row>
    <row r="5" spans="1:6" ht="14.1">
      <c r="A5" s="666" t="s">
        <v>327</v>
      </c>
      <c r="B5" s="8" t="s">
        <v>328</v>
      </c>
      <c r="C5" s="79">
        <v>1.17</v>
      </c>
      <c r="D5" s="206">
        <v>0.96</v>
      </c>
      <c r="E5" s="251">
        <v>1.05</v>
      </c>
      <c r="F5" s="387">
        <v>2.1</v>
      </c>
    </row>
    <row r="6" spans="1:6" ht="15">
      <c r="A6" s="666"/>
      <c r="B6" s="448" t="s">
        <v>329</v>
      </c>
      <c r="C6" s="79">
        <v>4.9000000000000004</v>
      </c>
      <c r="D6" s="206">
        <v>5</v>
      </c>
      <c r="E6" s="251">
        <v>5.6</v>
      </c>
      <c r="F6" s="387">
        <v>5.7</v>
      </c>
    </row>
    <row r="7" spans="1:6" ht="14.1">
      <c r="A7" s="666" t="s">
        <v>330</v>
      </c>
      <c r="B7" s="8" t="s">
        <v>328</v>
      </c>
      <c r="C7" s="79">
        <v>0.78</v>
      </c>
      <c r="D7" s="206">
        <v>0.33</v>
      </c>
      <c r="E7" s="251">
        <v>0.32</v>
      </c>
      <c r="F7" s="387">
        <v>1.44</v>
      </c>
    </row>
    <row r="8" spans="1:6" ht="14.1">
      <c r="A8" s="666"/>
      <c r="B8" s="8" t="s">
        <v>331</v>
      </c>
      <c r="C8" s="79">
        <v>3.7</v>
      </c>
      <c r="D8" s="206">
        <v>2.1</v>
      </c>
      <c r="E8" s="251">
        <v>2.2999999999999998</v>
      </c>
      <c r="F8" s="387">
        <v>2.2000000000000002</v>
      </c>
    </row>
    <row r="9" spans="1:6" ht="14.1">
      <c r="A9" s="449" t="s">
        <v>332</v>
      </c>
      <c r="B9" s="101"/>
      <c r="C9" s="101"/>
      <c r="D9" s="101"/>
      <c r="E9" s="137"/>
      <c r="F9" s="388"/>
    </row>
    <row r="10" spans="1:6" ht="15">
      <c r="A10" s="666" t="s">
        <v>333</v>
      </c>
      <c r="B10" s="8" t="s">
        <v>328</v>
      </c>
      <c r="C10" s="173" t="s">
        <v>334</v>
      </c>
      <c r="D10" s="206">
        <v>4.7</v>
      </c>
      <c r="E10" s="251">
        <v>3.17</v>
      </c>
      <c r="F10" s="387">
        <v>2.83</v>
      </c>
    </row>
    <row r="11" spans="1:6" ht="14.1">
      <c r="A11" s="666"/>
      <c r="B11" s="8" t="s">
        <v>331</v>
      </c>
      <c r="C11" s="79">
        <v>4.7</v>
      </c>
      <c r="D11" s="206">
        <v>2.7</v>
      </c>
      <c r="E11" s="251">
        <v>3.3</v>
      </c>
      <c r="F11" s="387">
        <v>3.6</v>
      </c>
    </row>
    <row r="12" spans="1:6" ht="15">
      <c r="A12" s="666" t="s">
        <v>335</v>
      </c>
      <c r="B12" s="8" t="s">
        <v>328</v>
      </c>
      <c r="C12" s="104" t="s">
        <v>336</v>
      </c>
      <c r="D12" s="206">
        <v>1.71</v>
      </c>
      <c r="E12" s="251">
        <v>1.58</v>
      </c>
      <c r="F12" s="387">
        <v>1.32</v>
      </c>
    </row>
    <row r="13" spans="1:6" ht="14.1">
      <c r="A13" s="666"/>
      <c r="B13" s="8" t="s">
        <v>331</v>
      </c>
      <c r="C13" s="79">
        <v>3.2</v>
      </c>
      <c r="D13" s="206">
        <v>1.1000000000000001</v>
      </c>
      <c r="E13" s="251">
        <v>1.2</v>
      </c>
      <c r="F13" s="387">
        <v>1.2000000000000002</v>
      </c>
    </row>
    <row r="14" spans="1:6" ht="14.1">
      <c r="A14" s="673" t="s">
        <v>337</v>
      </c>
      <c r="B14" s="673"/>
      <c r="C14" s="673"/>
      <c r="F14" s="389"/>
    </row>
    <row r="15" spans="1:6" ht="14.1">
      <c r="A15" s="666" t="s">
        <v>333</v>
      </c>
      <c r="B15" s="8" t="s">
        <v>328</v>
      </c>
      <c r="C15" s="79">
        <v>0.35</v>
      </c>
      <c r="D15" s="206">
        <v>0.01</v>
      </c>
      <c r="E15" s="251">
        <v>0.04</v>
      </c>
      <c r="F15" s="387">
        <v>7.0000000000000007E-2</v>
      </c>
    </row>
    <row r="16" spans="1:6" ht="14.1">
      <c r="A16" s="666"/>
      <c r="B16" s="8" t="s">
        <v>331</v>
      </c>
      <c r="C16" s="79">
        <v>0.7</v>
      </c>
      <c r="D16" s="206">
        <v>0.7</v>
      </c>
      <c r="E16" s="251">
        <v>0.6</v>
      </c>
      <c r="F16" s="387">
        <v>0.8</v>
      </c>
    </row>
    <row r="17" spans="1:7" ht="14.1">
      <c r="A17" s="666" t="s">
        <v>335</v>
      </c>
      <c r="B17" s="8" t="s">
        <v>328</v>
      </c>
      <c r="C17" s="79">
        <v>0.15</v>
      </c>
      <c r="D17" s="206">
        <v>0</v>
      </c>
      <c r="E17" s="251">
        <v>0</v>
      </c>
      <c r="F17" s="387">
        <v>0.01</v>
      </c>
    </row>
    <row r="18" spans="1:7" ht="14.1">
      <c r="A18" s="666"/>
      <c r="B18" s="8" t="s">
        <v>331</v>
      </c>
      <c r="C18" s="79">
        <v>0.3</v>
      </c>
      <c r="D18" s="206">
        <v>0.3</v>
      </c>
      <c r="E18" s="251">
        <v>0.2</v>
      </c>
      <c r="F18" s="387">
        <v>0.30000000000000004</v>
      </c>
    </row>
    <row r="19" spans="1:7" ht="14.1">
      <c r="A19" s="117"/>
      <c r="B19" s="118"/>
      <c r="C19" s="119"/>
      <c r="D19" s="120"/>
      <c r="E19" s="120"/>
      <c r="F19" s="390"/>
    </row>
    <row r="20" spans="1:7" ht="15">
      <c r="A20" s="17" t="s">
        <v>338</v>
      </c>
      <c r="B20" s="58"/>
      <c r="C20" s="283" t="s">
        <v>323</v>
      </c>
      <c r="D20" s="283" t="s">
        <v>324</v>
      </c>
      <c r="E20" s="283" t="s">
        <v>325</v>
      </c>
      <c r="F20" s="26" t="s">
        <v>197</v>
      </c>
    </row>
    <row r="21" spans="1:7" ht="14.1">
      <c r="A21" s="667" t="s">
        <v>339</v>
      </c>
      <c r="B21" s="668"/>
      <c r="C21" s="668"/>
      <c r="D21" s="668"/>
      <c r="E21" s="612"/>
      <c r="F21" s="612"/>
    </row>
    <row r="22" spans="1:7" ht="14.1">
      <c r="A22" s="666" t="s">
        <v>333</v>
      </c>
      <c r="B22" s="8" t="s">
        <v>340</v>
      </c>
      <c r="C22" s="79">
        <v>0.28000000000000003</v>
      </c>
      <c r="D22" s="206">
        <v>0.15</v>
      </c>
      <c r="E22" s="251">
        <v>1.05</v>
      </c>
      <c r="F22" s="387">
        <v>0.11</v>
      </c>
    </row>
    <row r="23" spans="1:7" ht="14.1">
      <c r="A23" s="666"/>
      <c r="B23" s="8" t="s">
        <v>331</v>
      </c>
      <c r="C23" s="79">
        <v>3.2</v>
      </c>
      <c r="D23" s="206">
        <v>3.4</v>
      </c>
      <c r="E23" s="251">
        <v>5.6</v>
      </c>
      <c r="F23" s="387">
        <v>2.7</v>
      </c>
    </row>
    <row r="24" spans="1:7" ht="14.1">
      <c r="A24" s="666" t="s">
        <v>335</v>
      </c>
      <c r="B24" s="8" t="s">
        <v>340</v>
      </c>
      <c r="C24" s="79">
        <v>0.15</v>
      </c>
      <c r="D24" s="206">
        <v>0.08</v>
      </c>
      <c r="E24" s="251">
        <v>0.32</v>
      </c>
      <c r="F24" s="387">
        <v>0.06</v>
      </c>
    </row>
    <row r="25" spans="1:7" ht="14.1">
      <c r="A25" s="666"/>
      <c r="B25" s="8" t="s">
        <v>331</v>
      </c>
      <c r="C25" s="79">
        <v>1</v>
      </c>
      <c r="D25" s="206">
        <v>1.3</v>
      </c>
      <c r="E25" s="251">
        <v>2.2999999999999998</v>
      </c>
      <c r="F25" s="387">
        <v>1.2</v>
      </c>
    </row>
    <row r="26" spans="1:7" ht="14.1">
      <c r="A26" s="102" t="s">
        <v>341</v>
      </c>
      <c r="B26" s="103"/>
      <c r="C26" s="103"/>
      <c r="D26" s="103"/>
      <c r="E26" s="137"/>
      <c r="F26" s="92"/>
    </row>
    <row r="27" spans="1:7" ht="14.1">
      <c r="A27" s="666" t="s">
        <v>333</v>
      </c>
      <c r="B27" s="8" t="s">
        <v>340</v>
      </c>
      <c r="C27" s="79">
        <v>0.5</v>
      </c>
      <c r="D27" s="206">
        <v>0.52</v>
      </c>
      <c r="E27" s="251">
        <v>3.17</v>
      </c>
      <c r="F27" s="387">
        <v>0.28999999999999998</v>
      </c>
    </row>
    <row r="28" spans="1:7" ht="14.1">
      <c r="A28" s="666"/>
      <c r="B28" s="8" t="s">
        <v>331</v>
      </c>
      <c r="C28" s="79">
        <v>1.9</v>
      </c>
      <c r="D28" s="206">
        <v>1.6</v>
      </c>
      <c r="E28" s="251">
        <v>3.3</v>
      </c>
      <c r="F28" s="387">
        <v>2</v>
      </c>
    </row>
    <row r="29" spans="1:7" ht="14.1">
      <c r="A29" s="666" t="s">
        <v>335</v>
      </c>
      <c r="B29" s="8" t="s">
        <v>340</v>
      </c>
      <c r="C29" s="79">
        <v>0.27</v>
      </c>
      <c r="D29" s="206">
        <v>0.21</v>
      </c>
      <c r="E29" s="251">
        <v>1.58</v>
      </c>
      <c r="F29" s="387">
        <v>0.13</v>
      </c>
    </row>
    <row r="30" spans="1:7" ht="14.1">
      <c r="A30" s="666"/>
      <c r="B30" s="8" t="s">
        <v>331</v>
      </c>
      <c r="C30" s="79">
        <v>0.7</v>
      </c>
      <c r="D30" s="206">
        <v>0.6</v>
      </c>
      <c r="E30" s="251">
        <v>1.2</v>
      </c>
      <c r="F30" s="387">
        <v>0.7</v>
      </c>
    </row>
    <row r="31" spans="1:7">
      <c r="A31" s="117"/>
      <c r="B31" s="118"/>
      <c r="C31" s="118"/>
      <c r="D31" s="118"/>
      <c r="E31" s="118"/>
      <c r="F31" s="118"/>
    </row>
    <row r="32" spans="1:7" ht="30.75" customHeight="1">
      <c r="A32" s="675" t="s">
        <v>342</v>
      </c>
      <c r="B32" s="675"/>
      <c r="C32" s="675"/>
      <c r="D32" s="675"/>
      <c r="E32" s="675"/>
      <c r="F32" s="675"/>
      <c r="G32" s="675"/>
    </row>
    <row r="33" spans="1:7" ht="37.5" customHeight="1">
      <c r="A33" s="675" t="s">
        <v>343</v>
      </c>
      <c r="B33" s="675"/>
      <c r="C33" s="675"/>
      <c r="D33" s="675"/>
      <c r="E33" s="675"/>
      <c r="F33" s="675"/>
      <c r="G33" s="675"/>
    </row>
    <row r="34" spans="1:7" ht="33.75" customHeight="1">
      <c r="A34" s="675" t="s">
        <v>344</v>
      </c>
      <c r="B34" s="675"/>
      <c r="C34" s="675"/>
      <c r="D34" s="675"/>
      <c r="E34" s="675"/>
      <c r="F34" s="675"/>
      <c r="G34" s="675"/>
    </row>
    <row r="35" spans="1:7" ht="67.5" customHeight="1">
      <c r="A35" s="675" t="s">
        <v>345</v>
      </c>
      <c r="B35" s="675"/>
      <c r="C35" s="675"/>
      <c r="D35" s="675"/>
      <c r="E35" s="675"/>
      <c r="F35" s="675"/>
      <c r="G35" s="675"/>
    </row>
    <row r="36" spans="1:7" ht="31.5" customHeight="1">
      <c r="A36" s="674" t="s">
        <v>346</v>
      </c>
      <c r="B36" s="674"/>
      <c r="C36" s="674"/>
      <c r="D36" s="674"/>
      <c r="E36" s="674"/>
      <c r="F36" s="674"/>
      <c r="G36" s="674"/>
    </row>
    <row r="37" spans="1:7" ht="36" customHeight="1">
      <c r="A37" s="674" t="s">
        <v>347</v>
      </c>
      <c r="B37" s="674"/>
      <c r="C37" s="674"/>
      <c r="D37" s="674"/>
      <c r="E37" s="674"/>
      <c r="F37" s="674"/>
      <c r="G37" s="674"/>
    </row>
    <row r="38" spans="1:7" ht="45.75" customHeight="1">
      <c r="A38" s="675" t="s">
        <v>348</v>
      </c>
      <c r="B38" s="675"/>
      <c r="C38" s="675"/>
      <c r="D38" s="675"/>
      <c r="E38" s="675"/>
      <c r="F38" s="675"/>
      <c r="G38" s="675"/>
    </row>
  </sheetData>
  <mergeCells count="21">
    <mergeCell ref="A37:G37"/>
    <mergeCell ref="A38:G38"/>
    <mergeCell ref="A32:G32"/>
    <mergeCell ref="A33:G33"/>
    <mergeCell ref="A34:G34"/>
    <mergeCell ref="A35:G35"/>
    <mergeCell ref="A36:G36"/>
    <mergeCell ref="A2:D2"/>
    <mergeCell ref="A4:D4"/>
    <mergeCell ref="A14:C14"/>
    <mergeCell ref="A5:A6"/>
    <mergeCell ref="A7:A8"/>
    <mergeCell ref="A10:A11"/>
    <mergeCell ref="A27:A28"/>
    <mergeCell ref="A29:A30"/>
    <mergeCell ref="A15:A16"/>
    <mergeCell ref="A17:A18"/>
    <mergeCell ref="A12:A13"/>
    <mergeCell ref="A22:A23"/>
    <mergeCell ref="A24:A25"/>
    <mergeCell ref="A21:D21"/>
  </mergeCells>
  <phoneticPr fontId="23"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K77"/>
  <sheetViews>
    <sheetView topLeftCell="A35" zoomScale="80" zoomScaleNormal="80" workbookViewId="0">
      <selection activeCell="A38" sqref="A38"/>
    </sheetView>
  </sheetViews>
  <sheetFormatPr defaultColWidth="9.140625" defaultRowHeight="14.25" customHeight="1"/>
  <cols>
    <col min="1" max="1" width="30.28515625" style="1" customWidth="1"/>
    <col min="2" max="2" width="12.42578125" style="5" customWidth="1"/>
    <col min="3" max="3" width="13" style="5" customWidth="1"/>
    <col min="4" max="4" width="13.42578125" style="5" customWidth="1"/>
    <col min="5" max="5" width="15.28515625" style="5" customWidth="1"/>
    <col min="6" max="8" width="12.42578125" style="5" customWidth="1"/>
    <col min="9" max="10" width="9.140625" style="5"/>
    <col min="11" max="16384" width="9.140625" style="1"/>
  </cols>
  <sheetData>
    <row r="1" spans="1:11" ht="15">
      <c r="A1" s="2" t="s">
        <v>349</v>
      </c>
      <c r="B1" s="4"/>
      <c r="C1" s="4"/>
      <c r="D1" s="4"/>
      <c r="E1" s="4"/>
      <c r="F1" s="4"/>
      <c r="G1" s="4"/>
      <c r="H1" s="4"/>
      <c r="I1" s="4"/>
      <c r="J1" s="4"/>
    </row>
    <row r="2" spans="1:11" ht="32.85" customHeight="1">
      <c r="A2" s="687" t="s">
        <v>350</v>
      </c>
      <c r="B2" s="670"/>
      <c r="C2" s="670"/>
      <c r="D2" s="670"/>
      <c r="E2" s="670"/>
      <c r="F2" s="670"/>
      <c r="G2" s="670"/>
      <c r="H2" s="670"/>
    </row>
    <row r="3" spans="1:11" ht="15">
      <c r="A3" s="15"/>
      <c r="B3" s="690"/>
      <c r="C3" s="691"/>
      <c r="D3" s="692"/>
      <c r="E3" s="627" t="s">
        <v>351</v>
      </c>
      <c r="F3" s="37" t="s">
        <v>352</v>
      </c>
      <c r="G3" s="208" t="s">
        <v>214</v>
      </c>
      <c r="H3" s="208" t="s">
        <v>197</v>
      </c>
    </row>
    <row r="4" spans="1:11" ht="30" customHeight="1">
      <c r="A4" s="13" t="s">
        <v>353</v>
      </c>
      <c r="B4" s="693" t="s">
        <v>354</v>
      </c>
      <c r="C4" s="694"/>
      <c r="D4" s="695"/>
      <c r="E4" s="248">
        <v>0</v>
      </c>
      <c r="F4" s="248">
        <v>0</v>
      </c>
      <c r="G4" s="248">
        <v>0</v>
      </c>
      <c r="H4" s="447">
        <v>0</v>
      </c>
    </row>
    <row r="5" spans="1:11" ht="30" customHeight="1">
      <c r="A5" s="13" t="s">
        <v>355</v>
      </c>
      <c r="B5" s="693" t="s">
        <v>356</v>
      </c>
      <c r="C5" s="694"/>
      <c r="D5" s="695"/>
      <c r="E5" s="248">
        <v>15</v>
      </c>
      <c r="F5" s="248">
        <v>14</v>
      </c>
      <c r="G5" s="248">
        <v>14</v>
      </c>
      <c r="H5" s="447">
        <v>11</v>
      </c>
    </row>
    <row r="6" spans="1:11" ht="30" customHeight="1">
      <c r="A6" s="13" t="s">
        <v>357</v>
      </c>
      <c r="B6" s="693" t="s">
        <v>358</v>
      </c>
      <c r="C6" s="694"/>
      <c r="D6" s="695"/>
      <c r="E6" s="248">
        <v>432</v>
      </c>
      <c r="F6" s="248">
        <v>424</v>
      </c>
      <c r="G6" s="248">
        <v>370</v>
      </c>
      <c r="H6" s="447">
        <v>446</v>
      </c>
    </row>
    <row r="7" spans="1:11" ht="54.75" customHeight="1">
      <c r="A7" s="13" t="s">
        <v>359</v>
      </c>
      <c r="B7" s="693" t="s">
        <v>360</v>
      </c>
      <c r="C7" s="694"/>
      <c r="D7" s="695"/>
      <c r="E7" s="248">
        <v>16</v>
      </c>
      <c r="F7" s="248">
        <v>61</v>
      </c>
      <c r="G7" s="248">
        <v>186</v>
      </c>
      <c r="H7" s="447">
        <v>144</v>
      </c>
    </row>
    <row r="8" spans="1:11" ht="30" customHeight="1">
      <c r="A8" s="13" t="s">
        <v>361</v>
      </c>
      <c r="B8" s="696" t="s">
        <v>362</v>
      </c>
      <c r="C8" s="697"/>
      <c r="D8" s="698"/>
      <c r="E8" s="248">
        <v>0</v>
      </c>
      <c r="F8" s="248">
        <v>102</v>
      </c>
      <c r="G8" s="248">
        <v>4</v>
      </c>
      <c r="H8" s="447">
        <v>1</v>
      </c>
    </row>
    <row r="9" spans="1:11" ht="54.75" customHeight="1">
      <c r="A9" s="13" t="s">
        <v>363</v>
      </c>
      <c r="B9" s="693" t="s">
        <v>364</v>
      </c>
      <c r="C9" s="694"/>
      <c r="D9" s="695"/>
      <c r="E9" s="248">
        <v>0</v>
      </c>
      <c r="F9" s="248">
        <v>5</v>
      </c>
      <c r="G9" s="248">
        <v>38</v>
      </c>
      <c r="H9" s="447">
        <v>32</v>
      </c>
    </row>
    <row r="10" spans="1:11" s="21" customFormat="1" ht="14.1" customHeight="1">
      <c r="A10" s="93"/>
      <c r="B10" s="86"/>
      <c r="C10" s="86"/>
      <c r="D10" s="86"/>
      <c r="E10" s="366"/>
      <c r="F10" s="24"/>
      <c r="G10" s="44"/>
      <c r="H10" s="78"/>
      <c r="I10" s="78"/>
      <c r="J10" s="78"/>
    </row>
    <row r="11" spans="1:11" s="21" customFormat="1" ht="14.1" customHeight="1">
      <c r="A11" s="93"/>
      <c r="B11" s="86"/>
      <c r="C11" s="86"/>
      <c r="D11" s="86"/>
      <c r="E11" s="366"/>
      <c r="F11" s="24"/>
      <c r="G11" s="44"/>
      <c r="H11" s="78"/>
      <c r="I11" s="78"/>
      <c r="J11" s="78"/>
    </row>
    <row r="12" spans="1:11" s="21" customFormat="1" ht="18" customHeight="1">
      <c r="A12" s="678" t="s">
        <v>365</v>
      </c>
      <c r="B12" s="679"/>
      <c r="C12" s="679"/>
      <c r="D12" s="679"/>
      <c r="E12" s="679"/>
      <c r="F12" s="679"/>
      <c r="G12" s="679"/>
      <c r="H12" s="78"/>
      <c r="I12" s="78"/>
      <c r="J12" s="78"/>
    </row>
    <row r="13" spans="1:11" s="21" customFormat="1" ht="14.1" customHeight="1">
      <c r="A13" s="367"/>
      <c r="B13" s="18" t="s">
        <v>351</v>
      </c>
      <c r="C13" s="18" t="s">
        <v>352</v>
      </c>
      <c r="D13" s="368" t="s">
        <v>214</v>
      </c>
      <c r="E13" s="369" t="s">
        <v>197</v>
      </c>
      <c r="F13" s="688" t="s">
        <v>7</v>
      </c>
      <c r="G13" s="689"/>
      <c r="H13" s="78"/>
      <c r="I13" s="78"/>
      <c r="J13" s="78"/>
      <c r="K13" s="78"/>
    </row>
    <row r="14" spans="1:11" s="21" customFormat="1" ht="14.1" customHeight="1">
      <c r="A14" s="367"/>
      <c r="B14" s="18" t="s">
        <v>202</v>
      </c>
      <c r="C14" s="18" t="s">
        <v>202</v>
      </c>
      <c r="D14" s="368" t="s">
        <v>202</v>
      </c>
      <c r="E14" s="369" t="s">
        <v>202</v>
      </c>
      <c r="F14" s="688" t="s">
        <v>366</v>
      </c>
      <c r="G14" s="689"/>
      <c r="H14" s="78"/>
      <c r="I14" s="78"/>
      <c r="J14" s="78"/>
      <c r="K14" s="78"/>
    </row>
    <row r="15" spans="1:11" s="21" customFormat="1" ht="14.1" customHeight="1">
      <c r="A15" s="620" t="s">
        <v>367</v>
      </c>
      <c r="B15" s="248">
        <v>94</v>
      </c>
      <c r="C15" s="248">
        <v>85</v>
      </c>
      <c r="D15" s="370">
        <v>60</v>
      </c>
      <c r="E15" s="345">
        <v>70</v>
      </c>
      <c r="F15" s="699" t="s">
        <v>86</v>
      </c>
      <c r="G15" s="700"/>
      <c r="H15" s="78"/>
      <c r="I15" s="78"/>
      <c r="J15" s="78"/>
      <c r="K15" s="78"/>
    </row>
    <row r="16" spans="1:11" s="21" customFormat="1" ht="14.1" customHeight="1">
      <c r="A16" s="620" t="s">
        <v>368</v>
      </c>
      <c r="B16" s="248">
        <v>94</v>
      </c>
      <c r="C16" s="248">
        <v>92</v>
      </c>
      <c r="D16" s="371">
        <v>79</v>
      </c>
      <c r="E16" s="345">
        <v>86</v>
      </c>
      <c r="F16" s="699" t="s">
        <v>369</v>
      </c>
      <c r="G16" s="700"/>
      <c r="H16" s="78"/>
      <c r="I16" s="78"/>
      <c r="J16" s="78"/>
      <c r="K16" s="78"/>
    </row>
    <row r="17" spans="1:11" s="21" customFormat="1" ht="14.1" customHeight="1">
      <c r="A17" s="620" t="s">
        <v>370</v>
      </c>
      <c r="B17" s="248">
        <v>0</v>
      </c>
      <c r="C17" s="248">
        <v>59</v>
      </c>
      <c r="D17" s="371">
        <v>24</v>
      </c>
      <c r="E17" s="345">
        <v>38</v>
      </c>
      <c r="F17" s="676" t="s">
        <v>371</v>
      </c>
      <c r="G17" s="677"/>
      <c r="H17" s="78"/>
      <c r="I17" s="78"/>
      <c r="J17" s="78"/>
      <c r="K17" s="78"/>
    </row>
    <row r="18" spans="1:11" s="21" customFormat="1" ht="14.1" customHeight="1">
      <c r="A18" s="620" t="s">
        <v>372</v>
      </c>
      <c r="B18" s="248">
        <v>0</v>
      </c>
      <c r="C18" s="248">
        <v>0</v>
      </c>
      <c r="D18" s="372">
        <v>0</v>
      </c>
      <c r="E18" s="345">
        <v>37</v>
      </c>
      <c r="F18" s="676" t="s">
        <v>373</v>
      </c>
      <c r="G18" s="677"/>
      <c r="H18" s="78"/>
      <c r="I18" s="78"/>
      <c r="J18" s="78"/>
      <c r="K18" s="78"/>
    </row>
    <row r="19" spans="1:11" s="21" customFormat="1" ht="15">
      <c r="A19" s="620" t="s">
        <v>374</v>
      </c>
      <c r="B19" s="248">
        <v>0</v>
      </c>
      <c r="C19" s="248">
        <v>0</v>
      </c>
      <c r="D19" s="372">
        <v>0</v>
      </c>
      <c r="E19" s="345">
        <v>75</v>
      </c>
      <c r="F19" s="676" t="s">
        <v>375</v>
      </c>
      <c r="G19" s="677"/>
      <c r="H19" s="78"/>
      <c r="I19" s="78"/>
      <c r="J19" s="78"/>
    </row>
    <row r="20" spans="1:11" ht="15">
      <c r="A20" s="21"/>
      <c r="B20" s="78"/>
      <c r="C20" s="78"/>
      <c r="D20" s="78"/>
      <c r="E20" s="11"/>
      <c r="F20" s="44"/>
    </row>
    <row r="21" spans="1:11" ht="15">
      <c r="A21" s="21"/>
      <c r="B21" s="78"/>
      <c r="C21" s="78"/>
      <c r="D21" s="78"/>
      <c r="E21" s="11"/>
      <c r="F21" s="44"/>
    </row>
    <row r="22" spans="1:11" ht="14.1" customHeight="1">
      <c r="A22" s="678" t="s">
        <v>376</v>
      </c>
      <c r="B22" s="679"/>
      <c r="C22" s="679"/>
      <c r="D22" s="679"/>
      <c r="E22" s="679"/>
      <c r="F22" s="679"/>
      <c r="G22" s="25"/>
      <c r="H22" s="25"/>
    </row>
    <row r="23" spans="1:11" ht="15">
      <c r="A23" s="22"/>
      <c r="B23" s="37" t="s">
        <v>368</v>
      </c>
      <c r="C23" s="37" t="s">
        <v>377</v>
      </c>
      <c r="D23" s="39" t="s">
        <v>378</v>
      </c>
      <c r="E23" s="683" t="s">
        <v>379</v>
      </c>
      <c r="F23" s="684"/>
      <c r="G23" s="25"/>
      <c r="H23" s="1"/>
      <c r="J23" s="1"/>
    </row>
    <row r="24" spans="1:11" ht="15">
      <c r="A24" s="22"/>
      <c r="B24" s="121" t="s">
        <v>201</v>
      </c>
      <c r="C24" s="121" t="s">
        <v>201</v>
      </c>
      <c r="D24" s="121" t="s">
        <v>201</v>
      </c>
      <c r="E24" s="121" t="s">
        <v>201</v>
      </c>
      <c r="F24" s="252" t="s">
        <v>202</v>
      </c>
      <c r="G24" s="25"/>
      <c r="H24" s="1"/>
      <c r="J24" s="1"/>
    </row>
    <row r="25" spans="1:11" ht="21" customHeight="1">
      <c r="A25" s="13" t="s">
        <v>380</v>
      </c>
      <c r="B25" s="424">
        <v>56985</v>
      </c>
      <c r="C25" s="424">
        <v>3887</v>
      </c>
      <c r="D25" s="424">
        <v>14178</v>
      </c>
      <c r="E25" s="425">
        <v>75050</v>
      </c>
      <c r="F25" s="426">
        <v>0.06</v>
      </c>
      <c r="H25" s="1"/>
      <c r="J25" s="1"/>
    </row>
    <row r="26" spans="1:11" ht="21.75" customHeight="1">
      <c r="A26" s="13" t="s">
        <v>381</v>
      </c>
      <c r="B26" s="424">
        <v>35240</v>
      </c>
      <c r="C26" s="427">
        <v>926</v>
      </c>
      <c r="D26" s="424">
        <v>3577</v>
      </c>
      <c r="E26" s="425">
        <v>39743</v>
      </c>
      <c r="F26" s="426">
        <v>0.03</v>
      </c>
      <c r="G26" s="1"/>
      <c r="H26" s="1"/>
      <c r="J26" s="1"/>
    </row>
    <row r="27" spans="1:11" ht="21" customHeight="1">
      <c r="A27" s="13" t="s">
        <v>382</v>
      </c>
      <c r="B27" s="424">
        <v>107104</v>
      </c>
      <c r="C27" s="424">
        <v>58527</v>
      </c>
      <c r="D27" s="424">
        <v>3787</v>
      </c>
      <c r="E27" s="425">
        <v>169418</v>
      </c>
      <c r="F27" s="426">
        <v>0.13</v>
      </c>
      <c r="G27" s="1"/>
      <c r="H27" s="1"/>
      <c r="J27" s="1"/>
    </row>
    <row r="28" spans="1:11" ht="21.75" customHeight="1">
      <c r="A28" s="13" t="s">
        <v>383</v>
      </c>
      <c r="B28" s="424">
        <v>391285</v>
      </c>
      <c r="C28" s="424">
        <v>30541</v>
      </c>
      <c r="D28" s="424">
        <v>498</v>
      </c>
      <c r="E28" s="428">
        <v>422324</v>
      </c>
      <c r="F28" s="429">
        <v>0.32</v>
      </c>
      <c r="G28" s="1"/>
      <c r="H28" s="1"/>
      <c r="J28" s="1"/>
    </row>
    <row r="29" spans="1:11" ht="21" customHeight="1">
      <c r="A29" s="13" t="s">
        <v>384</v>
      </c>
      <c r="B29" s="424">
        <v>542660</v>
      </c>
      <c r="C29" s="424">
        <v>50933</v>
      </c>
      <c r="D29" s="424">
        <v>47</v>
      </c>
      <c r="E29" s="428">
        <v>593640</v>
      </c>
      <c r="F29" s="429">
        <v>0.46</v>
      </c>
      <c r="G29" s="1"/>
      <c r="H29" s="1"/>
      <c r="J29" s="1"/>
    </row>
    <row r="30" spans="1:11" ht="21" customHeight="1">
      <c r="A30" s="16" t="s">
        <v>385</v>
      </c>
      <c r="B30" s="430">
        <v>1133274</v>
      </c>
      <c r="C30" s="430">
        <v>144814</v>
      </c>
      <c r="D30" s="430">
        <v>22087</v>
      </c>
      <c r="E30" s="428">
        <v>1300175</v>
      </c>
      <c r="F30" s="429">
        <v>1</v>
      </c>
      <c r="G30" s="1"/>
      <c r="H30" s="1"/>
      <c r="J30" s="1"/>
    </row>
    <row r="31" spans="1:11">
      <c r="A31" s="6"/>
      <c r="B31" s="243"/>
      <c r="C31" s="243"/>
      <c r="D31" s="243"/>
      <c r="E31" s="243"/>
      <c r="F31" s="1"/>
    </row>
    <row r="32" spans="1:11">
      <c r="A32" s="6"/>
      <c r="B32" s="243"/>
      <c r="C32" s="243"/>
      <c r="D32" s="243"/>
      <c r="E32" s="243"/>
      <c r="F32" s="1"/>
    </row>
    <row r="33" spans="1:10" ht="15">
      <c r="A33" s="680" t="s">
        <v>386</v>
      </c>
      <c r="B33" s="681"/>
      <c r="C33" s="681"/>
      <c r="D33" s="681"/>
      <c r="E33" s="681"/>
      <c r="F33" s="682"/>
      <c r="G33" s="25"/>
      <c r="H33" s="25"/>
    </row>
    <row r="34" spans="1:10" ht="14.1" customHeight="1">
      <c r="A34" s="22"/>
      <c r="B34" s="37" t="s">
        <v>368</v>
      </c>
      <c r="C34" s="37" t="s">
        <v>377</v>
      </c>
      <c r="D34" s="39" t="s">
        <v>378</v>
      </c>
      <c r="E34" s="683" t="s">
        <v>379</v>
      </c>
      <c r="F34" s="684"/>
      <c r="G34" s="25"/>
      <c r="H34" s="25"/>
    </row>
    <row r="35" spans="1:10" ht="15">
      <c r="A35" s="22"/>
      <c r="B35" s="121" t="s">
        <v>201</v>
      </c>
      <c r="C35" s="121" t="s">
        <v>201</v>
      </c>
      <c r="D35" s="121" t="s">
        <v>201</v>
      </c>
      <c r="E35" s="121" t="s">
        <v>201</v>
      </c>
      <c r="F35" s="121" t="s">
        <v>202</v>
      </c>
      <c r="G35" s="263"/>
      <c r="H35" s="25"/>
    </row>
    <row r="36" spans="1:10" ht="15">
      <c r="A36" s="13" t="s">
        <v>328</v>
      </c>
      <c r="B36" s="629">
        <v>15</v>
      </c>
      <c r="C36" s="629">
        <v>1</v>
      </c>
      <c r="D36" s="629">
        <v>0</v>
      </c>
      <c r="E36" s="427">
        <v>16</v>
      </c>
      <c r="F36" s="431">
        <v>0.01</v>
      </c>
      <c r="G36" s="25"/>
    </row>
    <row r="37" spans="1:10">
      <c r="A37" s="620" t="s">
        <v>387</v>
      </c>
      <c r="B37" s="629">
        <v>333</v>
      </c>
      <c r="C37" s="629">
        <v>169</v>
      </c>
      <c r="D37" s="629">
        <v>41</v>
      </c>
      <c r="E37" s="427">
        <v>543</v>
      </c>
      <c r="F37" s="431">
        <v>0.36</v>
      </c>
    </row>
    <row r="38" spans="1:10">
      <c r="A38" s="808" t="s">
        <v>388</v>
      </c>
      <c r="B38" s="629">
        <v>378</v>
      </c>
      <c r="C38" s="629">
        <v>179</v>
      </c>
      <c r="D38" s="629">
        <v>1</v>
      </c>
      <c r="E38" s="427">
        <v>558</v>
      </c>
      <c r="F38" s="431">
        <v>0.37</v>
      </c>
    </row>
    <row r="39" spans="1:10">
      <c r="A39" s="620" t="s">
        <v>389</v>
      </c>
      <c r="B39" s="629">
        <v>97</v>
      </c>
      <c r="C39" s="629">
        <v>192</v>
      </c>
      <c r="D39" s="629">
        <v>0</v>
      </c>
      <c r="E39" s="427">
        <v>289</v>
      </c>
      <c r="F39" s="431">
        <v>0.19</v>
      </c>
    </row>
    <row r="40" spans="1:10">
      <c r="A40" s="13" t="s">
        <v>390</v>
      </c>
      <c r="B40" s="629">
        <v>0</v>
      </c>
      <c r="C40" s="629">
        <v>0</v>
      </c>
      <c r="D40" s="629">
        <v>40</v>
      </c>
      <c r="E40" s="427">
        <v>40</v>
      </c>
      <c r="F40" s="431">
        <v>0.03</v>
      </c>
    </row>
    <row r="41" spans="1:10">
      <c r="A41" s="13" t="s">
        <v>391</v>
      </c>
      <c r="B41" s="629">
        <v>6</v>
      </c>
      <c r="C41" s="629">
        <v>0</v>
      </c>
      <c r="D41" s="629">
        <v>0</v>
      </c>
      <c r="E41" s="427">
        <v>6</v>
      </c>
      <c r="F41" s="432">
        <v>0</v>
      </c>
    </row>
    <row r="42" spans="1:10">
      <c r="A42" s="13" t="s">
        <v>392</v>
      </c>
      <c r="B42" s="629">
        <v>45</v>
      </c>
      <c r="C42" s="629">
        <v>3</v>
      </c>
      <c r="D42" s="629">
        <v>0</v>
      </c>
      <c r="E42" s="427">
        <v>48</v>
      </c>
      <c r="F42" s="431">
        <v>0.03</v>
      </c>
    </row>
    <row r="43" spans="1:10" ht="15">
      <c r="A43" s="134" t="s">
        <v>209</v>
      </c>
      <c r="B43" s="433">
        <v>874</v>
      </c>
      <c r="C43" s="433">
        <v>544</v>
      </c>
      <c r="D43" s="164">
        <v>82</v>
      </c>
      <c r="E43" s="424">
        <v>1500</v>
      </c>
      <c r="F43" s="431" t="s">
        <v>393</v>
      </c>
    </row>
    <row r="44" spans="1:10" ht="15">
      <c r="A44" s="167"/>
      <c r="B44" s="165"/>
      <c r="C44" s="165"/>
      <c r="D44" s="166"/>
      <c r="E44" s="137"/>
      <c r="F44" s="1"/>
    </row>
    <row r="45" spans="1:10" ht="15">
      <c r="A45" s="167"/>
      <c r="B45" s="165"/>
      <c r="C45" s="165"/>
      <c r="D45" s="166"/>
      <c r="E45" s="137"/>
      <c r="F45" s="1"/>
    </row>
    <row r="46" spans="1:10" ht="15">
      <c r="A46" s="680" t="s">
        <v>394</v>
      </c>
      <c r="B46" s="681"/>
      <c r="C46" s="681"/>
      <c r="D46" s="681"/>
      <c r="E46" s="604"/>
      <c r="F46" s="1"/>
    </row>
    <row r="47" spans="1:10" ht="31.35" customHeight="1">
      <c r="A47" s="39" t="s">
        <v>395</v>
      </c>
      <c r="B47" s="39" t="s">
        <v>396</v>
      </c>
      <c r="C47" s="39" t="s">
        <v>397</v>
      </c>
      <c r="D47" s="39" t="s">
        <v>398</v>
      </c>
      <c r="E47" s="25"/>
      <c r="F47" s="25"/>
      <c r="G47" s="25"/>
      <c r="H47" s="1"/>
      <c r="I47" s="1"/>
      <c r="J47" s="1"/>
    </row>
    <row r="48" spans="1:10" ht="15">
      <c r="A48" s="622" t="s">
        <v>399</v>
      </c>
      <c r="B48" s="434">
        <v>0.1</v>
      </c>
      <c r="C48" s="434">
        <v>0</v>
      </c>
      <c r="D48" s="434">
        <v>0.89999999999999991</v>
      </c>
      <c r="E48" s="263"/>
      <c r="F48" s="605"/>
      <c r="H48" s="1"/>
      <c r="I48" s="1"/>
      <c r="J48" s="1"/>
    </row>
    <row r="49" spans="1:10">
      <c r="A49" s="622" t="s">
        <v>400</v>
      </c>
      <c r="B49" s="434">
        <v>0.1</v>
      </c>
      <c r="C49" s="434">
        <v>0</v>
      </c>
      <c r="D49" s="434">
        <v>0</v>
      </c>
      <c r="E49" s="605"/>
      <c r="F49" s="605"/>
      <c r="H49" s="1"/>
      <c r="I49" s="1"/>
      <c r="J49" s="1"/>
    </row>
    <row r="50" spans="1:10">
      <c r="A50" s="622" t="s">
        <v>401</v>
      </c>
      <c r="B50" s="434">
        <v>2.7</v>
      </c>
      <c r="C50" s="434">
        <v>5.8999999999999995</v>
      </c>
      <c r="D50" s="434">
        <v>4.3</v>
      </c>
      <c r="E50" s="605"/>
      <c r="F50" s="605"/>
      <c r="H50" s="1"/>
      <c r="I50" s="1"/>
      <c r="J50" s="1"/>
    </row>
    <row r="51" spans="1:10">
      <c r="A51" s="19" t="s">
        <v>402</v>
      </c>
      <c r="B51" s="629">
        <v>26.5</v>
      </c>
      <c r="C51" s="629">
        <v>20</v>
      </c>
      <c r="D51" s="629">
        <v>1.7000000000000002</v>
      </c>
      <c r="H51" s="1"/>
      <c r="I51" s="1"/>
      <c r="J51" s="1"/>
    </row>
    <row r="52" spans="1:10">
      <c r="A52" s="19" t="s">
        <v>403</v>
      </c>
      <c r="B52" s="629">
        <v>9.1</v>
      </c>
      <c r="C52" s="629">
        <v>8.7999999999999989</v>
      </c>
      <c r="D52" s="629">
        <v>3.4000000000000004</v>
      </c>
      <c r="H52" s="1"/>
      <c r="I52" s="1"/>
      <c r="J52" s="1"/>
    </row>
    <row r="53" spans="1:10" ht="17.850000000000001" customHeight="1">
      <c r="A53" s="69" t="s">
        <v>404</v>
      </c>
      <c r="B53" s="629">
        <v>1.6</v>
      </c>
      <c r="C53" s="629">
        <v>1.2</v>
      </c>
      <c r="D53" s="629">
        <v>8.5</v>
      </c>
      <c r="E53" s="605"/>
      <c r="F53" s="605"/>
      <c r="H53" s="1"/>
      <c r="I53" s="1"/>
      <c r="J53" s="1"/>
    </row>
    <row r="54" spans="1:10">
      <c r="A54" s="80" t="s">
        <v>405</v>
      </c>
      <c r="B54" s="629">
        <v>3.1</v>
      </c>
      <c r="C54" s="629">
        <v>2.1999999999999997</v>
      </c>
      <c r="D54" s="629">
        <v>3.4000000000000004</v>
      </c>
      <c r="H54" s="1"/>
      <c r="I54" s="1"/>
      <c r="J54" s="1"/>
    </row>
    <row r="55" spans="1:10">
      <c r="A55" s="19" t="s">
        <v>406</v>
      </c>
      <c r="B55" s="629">
        <v>11.1</v>
      </c>
      <c r="C55" s="629">
        <v>10.9</v>
      </c>
      <c r="D55" s="629">
        <v>8.5</v>
      </c>
      <c r="H55" s="1"/>
      <c r="I55" s="1"/>
      <c r="J55" s="1"/>
    </row>
    <row r="56" spans="1:10" ht="27" customHeight="1">
      <c r="A56" s="618" t="s">
        <v>407</v>
      </c>
      <c r="B56" s="629">
        <v>1.2</v>
      </c>
      <c r="C56" s="629">
        <v>0.89999999999999991</v>
      </c>
      <c r="D56" s="629">
        <v>5.0999999999999996</v>
      </c>
      <c r="H56" s="1"/>
      <c r="I56" s="1"/>
      <c r="J56" s="1"/>
    </row>
    <row r="57" spans="1:10" ht="28.5">
      <c r="A57" s="80" t="s">
        <v>408</v>
      </c>
      <c r="B57" s="629">
        <v>4.1000000000000005</v>
      </c>
      <c r="C57" s="629">
        <v>2</v>
      </c>
      <c r="D57" s="629">
        <v>6</v>
      </c>
      <c r="H57" s="1"/>
      <c r="I57" s="1"/>
      <c r="J57" s="1"/>
    </row>
    <row r="58" spans="1:10">
      <c r="A58" s="19" t="s">
        <v>409</v>
      </c>
      <c r="B58" s="629">
        <v>0.1</v>
      </c>
      <c r="C58" s="629">
        <v>0</v>
      </c>
      <c r="D58" s="629">
        <v>0</v>
      </c>
      <c r="H58" s="1"/>
      <c r="I58" s="1"/>
      <c r="J58" s="1"/>
    </row>
    <row r="59" spans="1:10">
      <c r="A59" s="19" t="s">
        <v>410</v>
      </c>
      <c r="B59" s="629">
        <v>1.0999999999999999</v>
      </c>
      <c r="C59" s="629">
        <v>1.6</v>
      </c>
      <c r="D59" s="629">
        <v>3.4000000000000004</v>
      </c>
      <c r="H59" s="1"/>
      <c r="I59" s="1"/>
      <c r="J59" s="1"/>
    </row>
    <row r="60" spans="1:10" ht="29.1" customHeight="1">
      <c r="A60" s="80" t="s">
        <v>411</v>
      </c>
      <c r="B60" s="629">
        <v>9.5</v>
      </c>
      <c r="C60" s="629">
        <v>11.1</v>
      </c>
      <c r="D60" s="629">
        <v>6.8000000000000007</v>
      </c>
      <c r="H60" s="1"/>
      <c r="I60" s="1"/>
      <c r="J60" s="1"/>
    </row>
    <row r="61" spans="1:10">
      <c r="A61" s="19" t="s">
        <v>412</v>
      </c>
      <c r="B61" s="629">
        <v>0.8</v>
      </c>
      <c r="C61" s="629">
        <v>0.70000000000000007</v>
      </c>
      <c r="D61" s="629">
        <v>0</v>
      </c>
      <c r="H61" s="1"/>
      <c r="I61" s="1"/>
      <c r="J61" s="1"/>
    </row>
    <row r="62" spans="1:10" ht="28.5">
      <c r="A62" s="80" t="s">
        <v>413</v>
      </c>
      <c r="B62" s="629">
        <v>0.4</v>
      </c>
      <c r="C62" s="629">
        <v>0.2</v>
      </c>
      <c r="D62" s="629">
        <v>3.4000000000000004</v>
      </c>
      <c r="H62" s="1"/>
      <c r="I62" s="1"/>
      <c r="J62" s="1"/>
    </row>
    <row r="63" spans="1:10">
      <c r="A63" s="19" t="s">
        <v>414</v>
      </c>
      <c r="B63" s="629">
        <v>7.3</v>
      </c>
      <c r="C63" s="629">
        <v>3.8</v>
      </c>
      <c r="D63" s="629">
        <v>6.8000000000000007</v>
      </c>
      <c r="H63" s="1"/>
      <c r="I63" s="1"/>
      <c r="J63" s="1"/>
    </row>
    <row r="64" spans="1:10">
      <c r="A64" s="19" t="s">
        <v>415</v>
      </c>
      <c r="B64" s="629">
        <v>5.6000000000000005</v>
      </c>
      <c r="C64" s="629">
        <v>6.5</v>
      </c>
      <c r="D64" s="629">
        <v>0.89999999999999991</v>
      </c>
      <c r="H64" s="1"/>
      <c r="I64" s="1"/>
      <c r="J64" s="1"/>
    </row>
    <row r="65" spans="1:11">
      <c r="A65" s="19" t="s">
        <v>416</v>
      </c>
      <c r="B65" s="629">
        <v>3.4000000000000004</v>
      </c>
      <c r="C65" s="629">
        <v>9.6</v>
      </c>
      <c r="D65" s="629">
        <v>21.4</v>
      </c>
      <c r="H65" s="1"/>
      <c r="I65" s="1"/>
      <c r="J65" s="1"/>
    </row>
    <row r="66" spans="1:11">
      <c r="A66" s="19" t="s">
        <v>417</v>
      </c>
      <c r="B66" s="629">
        <v>12.2</v>
      </c>
      <c r="C66" s="629">
        <v>14.899999999999999</v>
      </c>
      <c r="D66" s="629">
        <v>15.4</v>
      </c>
      <c r="H66" s="1"/>
      <c r="I66" s="1"/>
      <c r="J66" s="1"/>
    </row>
    <row r="67" spans="1:11" ht="15">
      <c r="A67" s="20" t="s">
        <v>209</v>
      </c>
      <c r="B67" s="433">
        <v>100</v>
      </c>
      <c r="C67" s="433">
        <v>100</v>
      </c>
      <c r="D67" s="433">
        <v>100</v>
      </c>
      <c r="H67" s="1"/>
      <c r="I67" s="1"/>
      <c r="J67" s="1"/>
    </row>
    <row r="68" spans="1:11">
      <c r="B68" s="24"/>
      <c r="C68" s="24"/>
      <c r="D68" s="24"/>
      <c r="H68" s="1"/>
      <c r="I68" s="1"/>
      <c r="J68" s="1"/>
    </row>
    <row r="69" spans="1:11">
      <c r="B69" s="24"/>
      <c r="C69" s="24"/>
      <c r="D69" s="24"/>
      <c r="H69" s="1"/>
      <c r="I69" s="1"/>
      <c r="J69" s="1"/>
    </row>
    <row r="70" spans="1:11" ht="48.75" customHeight="1">
      <c r="A70" s="171" t="s">
        <v>418</v>
      </c>
      <c r="B70" s="183" t="s">
        <v>351</v>
      </c>
      <c r="C70" s="183" t="s">
        <v>214</v>
      </c>
      <c r="D70" s="183" t="s">
        <v>197</v>
      </c>
      <c r="E70" s="270"/>
      <c r="F70" s="271"/>
    </row>
    <row r="71" spans="1:11" ht="54" customHeight="1">
      <c r="A71" s="40" t="s">
        <v>419</v>
      </c>
      <c r="B71" s="207">
        <v>0.94</v>
      </c>
      <c r="C71" s="207">
        <v>0.77</v>
      </c>
      <c r="D71" s="435">
        <v>0.85</v>
      </c>
      <c r="E71" s="264"/>
      <c r="K71" s="5"/>
    </row>
    <row r="72" spans="1:11" ht="54" customHeight="1">
      <c r="A72" s="618" t="s">
        <v>420</v>
      </c>
      <c r="B72" s="284" t="s">
        <v>421</v>
      </c>
      <c r="C72" s="207">
        <v>0.12</v>
      </c>
      <c r="D72" s="435">
        <v>0.31</v>
      </c>
      <c r="K72" s="5"/>
    </row>
    <row r="73" spans="1:11" ht="17.25" customHeight="1"/>
    <row r="74" spans="1:11" ht="13.5" customHeight="1">
      <c r="A74" s="686" t="s">
        <v>422</v>
      </c>
      <c r="B74" s="686"/>
      <c r="C74" s="686"/>
      <c r="D74" s="686"/>
      <c r="E74" s="686"/>
      <c r="F74" s="686"/>
      <c r="G74" s="686"/>
      <c r="H74" s="443"/>
      <c r="I74" s="443"/>
    </row>
    <row r="75" spans="1:11" ht="36" customHeight="1">
      <c r="A75" s="685" t="s">
        <v>423</v>
      </c>
      <c r="B75" s="685"/>
      <c r="C75" s="685"/>
      <c r="D75" s="685"/>
      <c r="E75" s="685"/>
      <c r="F75" s="685"/>
      <c r="G75" s="685"/>
    </row>
    <row r="76" spans="1:11" ht="30.75" customHeight="1">
      <c r="A76" s="685" t="s">
        <v>424</v>
      </c>
      <c r="B76" s="685"/>
      <c r="C76" s="685"/>
      <c r="D76" s="685"/>
      <c r="E76" s="685"/>
      <c r="F76" s="685"/>
      <c r="G76" s="685"/>
    </row>
    <row r="77" spans="1:11">
      <c r="A77" s="586"/>
    </row>
  </sheetData>
  <mergeCells count="24">
    <mergeCell ref="A75:G75"/>
    <mergeCell ref="A74:G74"/>
    <mergeCell ref="A76:G76"/>
    <mergeCell ref="A2:H2"/>
    <mergeCell ref="F14:G14"/>
    <mergeCell ref="B3:D3"/>
    <mergeCell ref="B4:D4"/>
    <mergeCell ref="B5:D5"/>
    <mergeCell ref="B6:D6"/>
    <mergeCell ref="B7:D7"/>
    <mergeCell ref="B8:D8"/>
    <mergeCell ref="B9:D9"/>
    <mergeCell ref="A12:G12"/>
    <mergeCell ref="F13:G13"/>
    <mergeCell ref="F15:G15"/>
    <mergeCell ref="F16:G16"/>
    <mergeCell ref="F17:G17"/>
    <mergeCell ref="F18:G18"/>
    <mergeCell ref="F19:G19"/>
    <mergeCell ref="A22:F22"/>
    <mergeCell ref="A46:D46"/>
    <mergeCell ref="A33:F33"/>
    <mergeCell ref="E23:F23"/>
    <mergeCell ref="E34:F34"/>
  </mergeCells>
  <phoneticPr fontId="23" type="noConversion"/>
  <pageMargins left="0.7" right="0.7" top="0.75" bottom="0.75" header="0.3" footer="0.3"/>
  <pageSetup paperSize="9" orientation="portrait" horizontalDpi="4294967292" verticalDpi="429496729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AD544"/>
  <sheetViews>
    <sheetView zoomScale="90" zoomScaleNormal="90" workbookViewId="0">
      <selection activeCell="A379" sqref="A379:G379"/>
    </sheetView>
  </sheetViews>
  <sheetFormatPr defaultColWidth="8.42578125" defaultRowHeight="14.25" customHeight="1"/>
  <cols>
    <col min="1" max="1" width="42.5703125" style="1" customWidth="1"/>
    <col min="2" max="2" width="16" style="5" customWidth="1"/>
    <col min="3" max="4" width="17.42578125" style="5" customWidth="1"/>
    <col min="5" max="5" width="16.42578125" style="5" customWidth="1"/>
    <col min="6" max="6" width="16.140625" style="5" customWidth="1"/>
    <col min="7" max="7" width="14.140625" style="1" customWidth="1"/>
    <col min="8" max="8" width="21" style="1" customWidth="1"/>
    <col min="9" max="9" width="21.85546875" style="1" customWidth="1"/>
    <col min="10" max="10" width="15.42578125" style="1" customWidth="1"/>
    <col min="11" max="11" width="17" style="1" customWidth="1"/>
    <col min="12" max="12" width="18.42578125" style="1" customWidth="1"/>
    <col min="13" max="13" width="19.7109375" style="1" customWidth="1"/>
    <col min="14" max="17" width="21.140625" style="1" customWidth="1"/>
    <col min="18" max="18" width="8.42578125" style="1" customWidth="1"/>
    <col min="19" max="19" width="12.85546875" style="1" customWidth="1"/>
    <col min="20" max="20" width="16.7109375" style="1" customWidth="1"/>
    <col min="21" max="21" width="15.28515625" style="1" customWidth="1"/>
    <col min="22" max="22" width="14.85546875" style="1" customWidth="1"/>
    <col min="23" max="24" width="12" style="1" customWidth="1"/>
    <col min="25" max="25" width="8.42578125" style="1"/>
    <col min="26" max="26" width="13" style="1" customWidth="1"/>
    <col min="27" max="27" width="12" style="1" customWidth="1"/>
    <col min="28" max="16384" width="8.42578125" style="1"/>
  </cols>
  <sheetData>
    <row r="1" spans="1:11" s="21" customFormat="1" ht="14.1" customHeight="1">
      <c r="A1" s="2" t="s">
        <v>425</v>
      </c>
      <c r="B1" s="279"/>
      <c r="C1" s="86"/>
      <c r="D1" s="86"/>
      <c r="E1" s="86"/>
      <c r="F1" s="78"/>
      <c r="G1" s="78"/>
      <c r="H1" s="78"/>
      <c r="I1" s="78"/>
      <c r="J1" s="78"/>
      <c r="K1" s="78"/>
    </row>
    <row r="2" spans="1:11" ht="15.95" customHeight="1">
      <c r="A2" s="745" t="s">
        <v>426</v>
      </c>
      <c r="B2" s="746"/>
      <c r="C2" s="746"/>
      <c r="D2" s="746"/>
      <c r="E2" s="746"/>
      <c r="F2" s="746"/>
      <c r="G2" s="25"/>
      <c r="H2" s="25"/>
      <c r="I2" s="78"/>
      <c r="J2" s="78"/>
      <c r="K2" s="78"/>
    </row>
    <row r="3" spans="1:11" ht="15">
      <c r="A3" s="701"/>
      <c r="B3" s="702"/>
      <c r="C3" s="39" t="s">
        <v>351</v>
      </c>
      <c r="D3" s="37" t="s">
        <v>352</v>
      </c>
      <c r="E3" s="18" t="s">
        <v>214</v>
      </c>
      <c r="F3" s="18" t="s">
        <v>197</v>
      </c>
      <c r="G3" s="266"/>
      <c r="I3" s="78"/>
      <c r="J3" s="78"/>
      <c r="K3" s="78"/>
    </row>
    <row r="4" spans="1:11" ht="16.5" customHeight="1">
      <c r="A4" s="476" t="s">
        <v>427</v>
      </c>
      <c r="B4" s="146"/>
      <c r="C4" s="146"/>
      <c r="D4" s="146"/>
      <c r="E4" s="210"/>
      <c r="F4" s="210"/>
      <c r="G4" s="93"/>
      <c r="I4" s="78"/>
      <c r="J4" s="78"/>
      <c r="K4" s="78"/>
    </row>
    <row r="5" spans="1:11" ht="15">
      <c r="A5" s="751" t="s">
        <v>428</v>
      </c>
      <c r="B5" s="620" t="s">
        <v>429</v>
      </c>
      <c r="C5" s="54">
        <v>44387</v>
      </c>
      <c r="D5" s="54">
        <v>55477</v>
      </c>
      <c r="E5" s="285">
        <v>82317</v>
      </c>
      <c r="F5" s="286">
        <v>97148</v>
      </c>
      <c r="G5" s="71"/>
      <c r="I5" s="78"/>
      <c r="J5" s="78"/>
      <c r="K5" s="78"/>
    </row>
    <row r="6" spans="1:11" ht="15">
      <c r="A6" s="752"/>
      <c r="B6" s="620" t="s">
        <v>202</v>
      </c>
      <c r="C6" s="55">
        <v>0.23</v>
      </c>
      <c r="D6" s="55">
        <v>0.33</v>
      </c>
      <c r="E6" s="207">
        <v>0.46</v>
      </c>
      <c r="F6" s="335">
        <v>0.56000000000000005</v>
      </c>
      <c r="G6" s="72"/>
      <c r="I6" s="78"/>
      <c r="J6" s="78"/>
      <c r="K6" s="78"/>
    </row>
    <row r="7" spans="1:11" s="21" customFormat="1" ht="16.5" customHeight="1">
      <c r="A7" s="609" t="s">
        <v>430</v>
      </c>
      <c r="B7" s="620" t="s">
        <v>429</v>
      </c>
      <c r="C7" s="54">
        <v>195490</v>
      </c>
      <c r="D7" s="54">
        <v>166343</v>
      </c>
      <c r="E7" s="285">
        <v>180645</v>
      </c>
      <c r="F7" s="286">
        <v>172412</v>
      </c>
      <c r="G7" s="71"/>
      <c r="I7" s="78"/>
      <c r="J7" s="78"/>
      <c r="K7" s="78"/>
    </row>
    <row r="8" spans="1:11" ht="15">
      <c r="A8" s="477" t="s">
        <v>431</v>
      </c>
      <c r="B8" s="375"/>
      <c r="C8" s="145"/>
      <c r="D8" s="145"/>
      <c r="E8" s="211"/>
      <c r="F8" s="256"/>
      <c r="G8" s="92"/>
      <c r="I8" s="78"/>
      <c r="J8" s="78"/>
      <c r="K8" s="78"/>
    </row>
    <row r="9" spans="1:11" ht="15">
      <c r="A9" s="747" t="s">
        <v>432</v>
      </c>
      <c r="B9" s="620" t="s">
        <v>429</v>
      </c>
      <c r="C9" s="54">
        <v>10811</v>
      </c>
      <c r="D9" s="54">
        <v>13680</v>
      </c>
      <c r="E9" s="285">
        <v>17748</v>
      </c>
      <c r="F9" s="286">
        <v>14288</v>
      </c>
      <c r="G9" s="71"/>
      <c r="I9" s="78"/>
      <c r="J9" s="78"/>
      <c r="K9" s="78"/>
    </row>
    <row r="10" spans="1:11" ht="15">
      <c r="A10" s="748"/>
      <c r="B10" s="620" t="s">
        <v>202</v>
      </c>
      <c r="C10" s="55">
        <v>0.1</v>
      </c>
      <c r="D10" s="55">
        <v>0.12</v>
      </c>
      <c r="E10" s="207">
        <v>0.12</v>
      </c>
      <c r="F10" s="335">
        <v>0.12</v>
      </c>
      <c r="G10" s="72"/>
      <c r="I10" s="78"/>
      <c r="J10" s="78"/>
      <c r="K10" s="78"/>
    </row>
    <row r="11" spans="1:11" ht="15">
      <c r="A11" s="749" t="s">
        <v>428</v>
      </c>
      <c r="B11" s="620" t="s">
        <v>429</v>
      </c>
      <c r="C11" s="54">
        <v>503</v>
      </c>
      <c r="D11" s="54">
        <v>905</v>
      </c>
      <c r="E11" s="285">
        <v>867</v>
      </c>
      <c r="F11" s="286">
        <v>2108</v>
      </c>
      <c r="G11" s="71"/>
      <c r="I11" s="78"/>
      <c r="J11" s="78"/>
      <c r="K11" s="78"/>
    </row>
    <row r="12" spans="1:11" ht="15">
      <c r="A12" s="749"/>
      <c r="B12" s="620" t="s">
        <v>202</v>
      </c>
      <c r="C12" s="147">
        <v>4.0000000000000001E-3</v>
      </c>
      <c r="D12" s="147">
        <v>8.0000000000000002E-3</v>
      </c>
      <c r="E12" s="255" t="s">
        <v>251</v>
      </c>
      <c r="F12" s="337">
        <v>1.7999999999999999E-2</v>
      </c>
      <c r="G12" s="72"/>
      <c r="I12" s="78"/>
      <c r="J12" s="78"/>
      <c r="K12" s="78"/>
    </row>
    <row r="13" spans="1:11" ht="14.85" customHeight="1">
      <c r="A13" s="751" t="s">
        <v>433</v>
      </c>
      <c r="B13" s="621" t="s">
        <v>429</v>
      </c>
      <c r="C13" s="23">
        <v>86152.024720000001</v>
      </c>
      <c r="D13" s="23">
        <v>67151.949198999995</v>
      </c>
      <c r="E13" s="23">
        <v>111168.02776329999</v>
      </c>
      <c r="F13" s="333">
        <v>74334.342959999994</v>
      </c>
      <c r="I13" s="78"/>
      <c r="J13" s="78"/>
      <c r="K13" s="78"/>
    </row>
    <row r="14" spans="1:11" ht="15">
      <c r="A14" s="752"/>
      <c r="B14" s="621" t="s">
        <v>202</v>
      </c>
      <c r="C14" s="359">
        <v>0.75827937907311704</v>
      </c>
      <c r="D14" s="359">
        <v>0.58118595078501245</v>
      </c>
      <c r="E14" s="359">
        <v>0.78225266192839216</v>
      </c>
      <c r="F14" s="373">
        <v>0.6358066003872539</v>
      </c>
      <c r="G14" s="72"/>
      <c r="I14" s="78"/>
      <c r="J14" s="78"/>
      <c r="K14" s="78"/>
    </row>
    <row r="15" spans="1:11" s="21" customFormat="1" ht="18.75" customHeight="1">
      <c r="A15" s="148" t="s">
        <v>434</v>
      </c>
      <c r="B15" s="621" t="s">
        <v>429</v>
      </c>
      <c r="C15" s="374">
        <v>113615</v>
      </c>
      <c r="D15" s="374">
        <v>115543</v>
      </c>
      <c r="E15" s="338">
        <v>142113</v>
      </c>
      <c r="F15" s="336">
        <v>116913</v>
      </c>
      <c r="G15" s="72"/>
      <c r="I15" s="78"/>
      <c r="J15" s="78"/>
      <c r="K15" s="78"/>
    </row>
    <row r="16" spans="1:11" ht="17.25" customHeight="1">
      <c r="A16" s="478" t="s">
        <v>435</v>
      </c>
      <c r="B16" s="580"/>
      <c r="C16" s="150"/>
      <c r="D16" s="150"/>
      <c r="E16" s="211"/>
      <c r="F16" s="256"/>
      <c r="G16" s="92"/>
      <c r="I16" s="78"/>
      <c r="J16" s="78"/>
      <c r="K16" s="78"/>
    </row>
    <row r="17" spans="1:16" ht="15">
      <c r="A17" s="747" t="s">
        <v>428</v>
      </c>
      <c r="B17" s="620" t="s">
        <v>429</v>
      </c>
      <c r="C17" s="38">
        <v>564</v>
      </c>
      <c r="D17" s="142">
        <v>689</v>
      </c>
      <c r="E17" s="54">
        <v>2045</v>
      </c>
      <c r="F17" s="336">
        <v>2944</v>
      </c>
      <c r="G17" s="72"/>
      <c r="I17" s="78"/>
      <c r="J17" s="78"/>
      <c r="K17" s="78"/>
    </row>
    <row r="18" spans="1:16" ht="15">
      <c r="A18" s="748"/>
      <c r="B18" s="620" t="s">
        <v>202</v>
      </c>
      <c r="C18" s="147">
        <v>7.0000000000000001E-3</v>
      </c>
      <c r="D18" s="212">
        <v>8.9999999999999993E-3</v>
      </c>
      <c r="E18" s="207">
        <v>0.02</v>
      </c>
      <c r="F18" s="335">
        <v>0.03</v>
      </c>
      <c r="G18" s="72"/>
      <c r="I18" s="78"/>
      <c r="J18" s="78"/>
      <c r="K18" s="78"/>
    </row>
    <row r="19" spans="1:16" s="21" customFormat="1" ht="17.100000000000001" customHeight="1">
      <c r="A19" s="148" t="s">
        <v>436</v>
      </c>
      <c r="B19" s="620" t="s">
        <v>429</v>
      </c>
      <c r="C19" s="54">
        <v>76141</v>
      </c>
      <c r="D19" s="623">
        <v>78896</v>
      </c>
      <c r="E19" s="54">
        <v>94494</v>
      </c>
      <c r="F19" s="336">
        <v>98169</v>
      </c>
      <c r="G19" s="72"/>
      <c r="I19" s="78"/>
      <c r="J19" s="78"/>
      <c r="K19" s="78"/>
    </row>
    <row r="20" spans="1:16" ht="17.25" customHeight="1">
      <c r="A20" s="477" t="s">
        <v>437</v>
      </c>
      <c r="B20" s="151"/>
      <c r="C20" s="152"/>
      <c r="D20" s="149"/>
      <c r="E20" s="375"/>
      <c r="F20" s="257"/>
      <c r="G20" s="92"/>
      <c r="I20" s="78"/>
      <c r="J20" s="78"/>
      <c r="K20" s="78"/>
    </row>
    <row r="21" spans="1:16" ht="17.25" customHeight="1">
      <c r="A21" s="747" t="s">
        <v>428</v>
      </c>
      <c r="B21" s="620" t="s">
        <v>429</v>
      </c>
      <c r="C21" s="418">
        <v>978</v>
      </c>
      <c r="D21" s="248">
        <v>907</v>
      </c>
      <c r="E21" s="104" t="s">
        <v>438</v>
      </c>
      <c r="F21" s="508" t="s">
        <v>439</v>
      </c>
      <c r="G21" s="265"/>
      <c r="I21" s="78"/>
      <c r="J21" s="78"/>
      <c r="K21" s="78"/>
    </row>
    <row r="22" spans="1:16" ht="15">
      <c r="A22" s="748"/>
      <c r="B22" s="620" t="s">
        <v>202</v>
      </c>
      <c r="C22" s="55">
        <v>0.02</v>
      </c>
      <c r="D22" s="55">
        <v>0.02</v>
      </c>
      <c r="E22" s="214" t="s">
        <v>234</v>
      </c>
      <c r="F22" s="509">
        <v>4.7999999999999996E-3</v>
      </c>
      <c r="G22" s="265"/>
      <c r="I22" s="78"/>
      <c r="J22" s="78"/>
      <c r="K22" s="78"/>
    </row>
    <row r="23" spans="1:16" s="21" customFormat="1" ht="15">
      <c r="A23" s="148" t="s">
        <v>440</v>
      </c>
      <c r="B23" s="620" t="s">
        <v>429</v>
      </c>
      <c r="C23" s="54">
        <v>61053</v>
      </c>
      <c r="D23" s="54">
        <v>53055</v>
      </c>
      <c r="E23" s="54">
        <v>44523</v>
      </c>
      <c r="F23" s="336">
        <v>38493</v>
      </c>
      <c r="G23" s="265"/>
      <c r="H23" s="268"/>
      <c r="I23" s="78"/>
      <c r="J23" s="78"/>
      <c r="K23" s="78"/>
    </row>
    <row r="24" spans="1:16" ht="17.25" customHeight="1">
      <c r="A24" s="477" t="s">
        <v>441</v>
      </c>
      <c r="B24" s="151"/>
      <c r="C24" s="163"/>
      <c r="D24" s="163"/>
      <c r="E24" s="211"/>
      <c r="F24" s="256"/>
      <c r="G24" s="92"/>
      <c r="I24" s="78"/>
      <c r="J24" s="78"/>
      <c r="K24" s="78"/>
    </row>
    <row r="25" spans="1:16" ht="15">
      <c r="A25" s="749" t="s">
        <v>442</v>
      </c>
      <c r="B25" s="620" t="s">
        <v>429</v>
      </c>
      <c r="C25" s="56">
        <v>53</v>
      </c>
      <c r="D25" s="56">
        <v>57</v>
      </c>
      <c r="E25" s="23">
        <v>13</v>
      </c>
      <c r="F25" s="286">
        <v>4</v>
      </c>
      <c r="G25" s="445"/>
      <c r="I25" s="78"/>
      <c r="J25" s="78"/>
      <c r="K25" s="78"/>
    </row>
    <row r="26" spans="1:16" ht="15">
      <c r="A26" s="749"/>
      <c r="B26" s="620" t="s">
        <v>202</v>
      </c>
      <c r="C26" s="147">
        <v>1E-3</v>
      </c>
      <c r="D26" s="147">
        <v>1E-3</v>
      </c>
      <c r="E26" s="213">
        <v>2.0000000000000001E-4</v>
      </c>
      <c r="F26" s="510">
        <v>0</v>
      </c>
      <c r="G26" s="11"/>
      <c r="I26" s="78"/>
      <c r="J26" s="78"/>
      <c r="K26" s="78"/>
    </row>
    <row r="27" spans="1:16" ht="15">
      <c r="A27" s="747" t="s">
        <v>443</v>
      </c>
      <c r="B27" s="620" t="s">
        <v>429</v>
      </c>
      <c r="C27" s="54">
        <v>18623</v>
      </c>
      <c r="D27" s="54">
        <v>16031</v>
      </c>
      <c r="E27" s="23">
        <v>18117</v>
      </c>
      <c r="F27" s="286">
        <v>19053</v>
      </c>
      <c r="I27" s="78"/>
      <c r="J27" s="78"/>
      <c r="K27" s="78"/>
    </row>
    <row r="28" spans="1:16" ht="15">
      <c r="A28" s="750"/>
      <c r="B28" s="620" t="s">
        <v>202</v>
      </c>
      <c r="C28" s="55">
        <v>0.36</v>
      </c>
      <c r="D28" s="55">
        <v>0.26</v>
      </c>
      <c r="E28" s="14">
        <v>0.28000000000000003</v>
      </c>
      <c r="F28" s="335">
        <v>0.28999999999999998</v>
      </c>
      <c r="G28" s="11"/>
      <c r="I28" s="78"/>
      <c r="J28" s="78"/>
      <c r="K28" s="78"/>
    </row>
    <row r="29" spans="1:16" ht="15">
      <c r="A29" s="753" t="s">
        <v>444</v>
      </c>
      <c r="B29" s="479" t="s">
        <v>429</v>
      </c>
      <c r="C29" s="23">
        <v>0</v>
      </c>
      <c r="D29" s="23">
        <v>0</v>
      </c>
      <c r="E29" s="23">
        <v>24381.141056</v>
      </c>
      <c r="F29" s="333">
        <v>23615.202805999998</v>
      </c>
      <c r="G29" s="11"/>
      <c r="I29" s="78"/>
      <c r="J29" s="78"/>
      <c r="K29" s="78"/>
    </row>
    <row r="30" spans="1:16" ht="15">
      <c r="A30" s="754"/>
      <c r="B30" s="479" t="s">
        <v>202</v>
      </c>
      <c r="C30" s="359">
        <f>C29/C$31</f>
        <v>0</v>
      </c>
      <c r="D30" s="359">
        <f>D29/D$31</f>
        <v>0</v>
      </c>
      <c r="E30" s="359">
        <f>E29/E$31</f>
        <v>0.37014029233338397</v>
      </c>
      <c r="F30" s="373">
        <f>F29/F$31</f>
        <v>0.35528679674429797</v>
      </c>
      <c r="G30" s="11"/>
      <c r="I30" s="78"/>
      <c r="J30" s="78"/>
      <c r="K30" s="78"/>
    </row>
    <row r="31" spans="1:16" s="21" customFormat="1" ht="15">
      <c r="A31" s="148" t="s">
        <v>445</v>
      </c>
      <c r="B31" s="620" t="s">
        <v>429</v>
      </c>
      <c r="C31" s="54">
        <v>51646</v>
      </c>
      <c r="D31" s="54">
        <v>60502</v>
      </c>
      <c r="E31" s="54">
        <v>65870</v>
      </c>
      <c r="F31" s="336">
        <v>66468</v>
      </c>
      <c r="G31" s="85"/>
      <c r="I31" s="78"/>
      <c r="J31" s="78"/>
      <c r="K31" s="78"/>
      <c r="L31" s="78"/>
      <c r="M31" s="78"/>
      <c r="N31" s="78"/>
      <c r="O31" s="78"/>
      <c r="P31" s="78"/>
    </row>
    <row r="32" spans="1:16" s="21" customFormat="1" ht="15">
      <c r="A32" s="472"/>
      <c r="B32" s="473"/>
      <c r="C32" s="474"/>
      <c r="D32" s="474"/>
      <c r="E32" s="474"/>
      <c r="F32" s="475"/>
      <c r="G32" s="85"/>
      <c r="I32" s="78"/>
      <c r="J32" s="78"/>
      <c r="K32" s="78"/>
      <c r="L32" s="78"/>
      <c r="M32" s="78"/>
      <c r="N32" s="78"/>
      <c r="O32" s="78"/>
      <c r="P32" s="78"/>
    </row>
    <row r="33" spans="1:16" ht="55.5" customHeight="1">
      <c r="A33" s="767" t="s">
        <v>446</v>
      </c>
      <c r="B33" s="767"/>
      <c r="C33" s="767"/>
      <c r="D33" s="767"/>
      <c r="E33" s="767"/>
      <c r="F33" s="767"/>
      <c r="G33" s="767"/>
      <c r="H33" s="767"/>
      <c r="I33" s="5"/>
      <c r="J33" s="5"/>
      <c r="K33" s="5"/>
      <c r="L33" s="5"/>
      <c r="M33" s="5"/>
      <c r="N33" s="5"/>
      <c r="O33" s="5"/>
      <c r="P33" s="5"/>
    </row>
    <row r="34" spans="1:16" ht="56.25" customHeight="1">
      <c r="A34" s="767" t="s">
        <v>447</v>
      </c>
      <c r="B34" s="767"/>
      <c r="C34" s="767"/>
      <c r="D34" s="767"/>
      <c r="E34" s="767"/>
      <c r="F34" s="767"/>
      <c r="G34" s="767"/>
      <c r="H34" s="767"/>
      <c r="I34" s="5"/>
      <c r="J34" s="5"/>
      <c r="K34" s="5"/>
      <c r="L34" s="5"/>
      <c r="M34" s="5"/>
      <c r="N34" s="5"/>
      <c r="O34" s="5"/>
      <c r="P34" s="5"/>
    </row>
    <row r="35" spans="1:16" ht="60.75" customHeight="1">
      <c r="A35" s="767" t="s">
        <v>448</v>
      </c>
      <c r="B35" s="767"/>
      <c r="C35" s="767"/>
      <c r="D35" s="767"/>
      <c r="E35" s="767"/>
      <c r="F35" s="767"/>
      <c r="G35" s="767"/>
      <c r="H35" s="767"/>
      <c r="I35" s="5"/>
      <c r="J35" s="5"/>
      <c r="K35" s="5"/>
      <c r="L35" s="5"/>
      <c r="M35" s="5"/>
      <c r="N35" s="5"/>
      <c r="O35" s="5"/>
      <c r="P35" s="5"/>
    </row>
    <row r="36" spans="1:16" ht="42.75" customHeight="1">
      <c r="A36" s="767" t="s">
        <v>449</v>
      </c>
      <c r="B36" s="767"/>
      <c r="C36" s="767"/>
      <c r="D36" s="767"/>
      <c r="E36" s="767"/>
      <c r="F36" s="767"/>
      <c r="G36" s="767"/>
      <c r="H36" s="767"/>
      <c r="I36" s="5"/>
      <c r="J36" s="5"/>
      <c r="K36" s="5"/>
      <c r="L36" s="5"/>
      <c r="M36" s="5"/>
      <c r="N36" s="5"/>
      <c r="O36" s="5"/>
      <c r="P36" s="5"/>
    </row>
    <row r="37" spans="1:16" ht="29.45" customHeight="1">
      <c r="A37" s="767" t="s">
        <v>450</v>
      </c>
      <c r="B37" s="767"/>
      <c r="C37" s="767"/>
      <c r="D37" s="767"/>
      <c r="E37" s="767"/>
      <c r="F37" s="767"/>
      <c r="G37" s="767"/>
      <c r="H37" s="767"/>
      <c r="I37" s="5"/>
      <c r="J37" s="5"/>
      <c r="K37" s="5"/>
      <c r="L37" s="5"/>
      <c r="M37" s="5"/>
      <c r="N37" s="5"/>
      <c r="O37" s="5"/>
      <c r="P37" s="5"/>
    </row>
    <row r="38" spans="1:16" ht="102.75" customHeight="1">
      <c r="A38" s="767" t="s">
        <v>451</v>
      </c>
      <c r="B38" s="767"/>
      <c r="C38" s="767"/>
      <c r="D38" s="767"/>
      <c r="E38" s="767"/>
      <c r="F38" s="767"/>
      <c r="G38" s="767"/>
      <c r="H38" s="767"/>
      <c r="I38" s="5"/>
      <c r="J38" s="5"/>
      <c r="K38" s="5"/>
      <c r="L38" s="5"/>
      <c r="M38" s="5"/>
      <c r="N38" s="5"/>
      <c r="O38" s="5"/>
      <c r="P38" s="5"/>
    </row>
    <row r="39" spans="1:16" ht="29.45" customHeight="1">
      <c r="A39" s="767" t="s">
        <v>452</v>
      </c>
      <c r="B39" s="767"/>
      <c r="C39" s="767"/>
      <c r="D39" s="767"/>
      <c r="E39" s="767"/>
      <c r="F39" s="767"/>
      <c r="G39" s="767"/>
      <c r="H39" s="767"/>
      <c r="I39" s="5"/>
      <c r="J39" s="5"/>
      <c r="K39" s="5"/>
      <c r="L39" s="5"/>
      <c r="M39" s="5"/>
      <c r="N39" s="5"/>
      <c r="O39" s="5"/>
      <c r="P39" s="5"/>
    </row>
    <row r="40" spans="1:16" s="21" customFormat="1" ht="18.75" customHeight="1">
      <c r="A40" s="124"/>
      <c r="B40" s="124"/>
      <c r="C40" s="123"/>
      <c r="D40" s="123"/>
      <c r="E40" s="125"/>
      <c r="F40" s="125"/>
      <c r="G40" s="123"/>
      <c r="J40" s="78"/>
      <c r="K40" s="78"/>
      <c r="L40" s="78"/>
      <c r="M40" s="78"/>
      <c r="N40" s="78"/>
      <c r="O40" s="78"/>
      <c r="P40" s="78"/>
    </row>
    <row r="41" spans="1:16" ht="15">
      <c r="A41" s="615"/>
      <c r="B41" s="615"/>
      <c r="C41" s="615"/>
      <c r="D41" s="615"/>
      <c r="E41" s="125"/>
      <c r="F41" s="125"/>
      <c r="G41" s="123"/>
      <c r="H41" s="615"/>
      <c r="I41" s="5"/>
      <c r="J41" s="5"/>
      <c r="K41" s="5"/>
      <c r="L41" s="5"/>
      <c r="M41" s="5"/>
      <c r="N41" s="5"/>
      <c r="O41" s="5"/>
      <c r="P41" s="5"/>
    </row>
    <row r="42" spans="1:16" ht="15">
      <c r="A42" s="573" t="s">
        <v>453</v>
      </c>
      <c r="B42" s="615"/>
      <c r="C42" s="615"/>
      <c r="D42" s="615"/>
      <c r="E42" s="125"/>
      <c r="F42" s="125"/>
      <c r="G42" s="123"/>
      <c r="H42" s="615"/>
      <c r="I42" s="5"/>
      <c r="J42" s="5"/>
      <c r="K42" s="5"/>
      <c r="L42" s="5"/>
      <c r="M42" s="5"/>
      <c r="N42" s="5"/>
      <c r="O42" s="5"/>
      <c r="P42" s="5"/>
    </row>
    <row r="43" spans="1:16" ht="15">
      <c r="A43" s="574" t="s">
        <v>454</v>
      </c>
      <c r="B43" s="574" t="s">
        <v>6</v>
      </c>
      <c r="C43" s="574" t="s">
        <v>455</v>
      </c>
      <c r="D43" s="615"/>
      <c r="E43" s="125"/>
      <c r="F43" s="125"/>
      <c r="G43" s="123"/>
      <c r="H43" s="615"/>
      <c r="I43" s="5"/>
      <c r="J43" s="5"/>
      <c r="K43" s="5"/>
      <c r="L43" s="5"/>
      <c r="M43" s="5"/>
      <c r="N43" s="5"/>
      <c r="O43" s="5"/>
      <c r="P43" s="5"/>
    </row>
    <row r="44" spans="1:16" ht="15">
      <c r="A44" s="575">
        <f>((J55+J56)-(B55+B56))/(B55+B56)</f>
        <v>-0.73250884744066413</v>
      </c>
      <c r="B44" s="576">
        <f>((J55+J56)-(I55+I56))/(I55+I56)</f>
        <v>-0.19247481400122105</v>
      </c>
      <c r="C44" s="577">
        <v>-0.65</v>
      </c>
      <c r="D44" s="615"/>
      <c r="E44" s="125"/>
      <c r="F44" s="125"/>
      <c r="G44" s="123"/>
      <c r="H44" s="615"/>
      <c r="I44" s="5"/>
      <c r="J44" s="5"/>
      <c r="K44" s="5"/>
      <c r="L44" s="5"/>
      <c r="M44" s="5"/>
      <c r="N44" s="5"/>
      <c r="O44" s="5"/>
      <c r="P44" s="5"/>
    </row>
    <row r="45" spans="1:16" ht="15">
      <c r="A45" s="578"/>
      <c r="B45" s="578"/>
      <c r="C45" s="578"/>
      <c r="D45" s="615"/>
      <c r="E45" s="125"/>
      <c r="F45" s="125"/>
      <c r="G45" s="123"/>
      <c r="H45" s="615"/>
      <c r="I45" s="5"/>
      <c r="J45" s="5"/>
      <c r="K45" s="5"/>
      <c r="L45" s="5"/>
      <c r="M45" s="5"/>
      <c r="N45" s="5"/>
      <c r="O45" s="5"/>
      <c r="P45" s="5"/>
    </row>
    <row r="46" spans="1:16" ht="15">
      <c r="A46" s="578"/>
      <c r="B46" s="578"/>
      <c r="C46" s="578"/>
      <c r="D46" s="615"/>
      <c r="E46" s="125"/>
      <c r="F46" s="125"/>
      <c r="G46" s="123"/>
      <c r="H46" s="615"/>
      <c r="I46" s="5"/>
      <c r="J46" s="5"/>
      <c r="K46" s="5"/>
      <c r="L46" s="5"/>
      <c r="M46" s="5"/>
      <c r="N46" s="5"/>
      <c r="O46" s="5"/>
      <c r="P46" s="5"/>
    </row>
    <row r="47" spans="1:16" ht="15">
      <c r="A47" s="573" t="s">
        <v>456</v>
      </c>
      <c r="B47" s="578"/>
      <c r="C47" s="578"/>
      <c r="D47" s="615"/>
      <c r="E47" s="125"/>
      <c r="F47" s="125"/>
      <c r="G47" s="123"/>
      <c r="H47" s="615"/>
      <c r="I47" s="5"/>
      <c r="J47" s="5"/>
      <c r="K47" s="5"/>
      <c r="L47" s="5"/>
      <c r="M47" s="5"/>
      <c r="N47" s="5"/>
      <c r="O47" s="5"/>
      <c r="P47" s="5"/>
    </row>
    <row r="48" spans="1:16" ht="15" customHeight="1">
      <c r="A48" s="574" t="s">
        <v>454</v>
      </c>
      <c r="B48" s="574" t="s">
        <v>6</v>
      </c>
      <c r="C48" s="574" t="s">
        <v>455</v>
      </c>
      <c r="D48" s="436"/>
      <c r="E48" s="125"/>
      <c r="F48" s="125"/>
      <c r="G48" s="123"/>
      <c r="H48" s="437"/>
      <c r="I48" s="5"/>
      <c r="J48" s="5"/>
      <c r="K48" s="5"/>
      <c r="L48" s="5"/>
      <c r="M48" s="5"/>
      <c r="N48" s="5"/>
      <c r="O48" s="5"/>
      <c r="P48" s="5"/>
    </row>
    <row r="49" spans="1:19" ht="15">
      <c r="A49" s="579">
        <f>(J57-B57)/B57</f>
        <v>2.6817541575271265E-2</v>
      </c>
      <c r="B49" s="575">
        <f>((J57)-(I57))/(I57)</f>
        <v>-4.8924595568615073E-2</v>
      </c>
      <c r="C49" s="577">
        <v>-0.3</v>
      </c>
      <c r="D49" s="318"/>
      <c r="E49" s="125"/>
      <c r="F49" s="125"/>
      <c r="G49" s="123"/>
      <c r="H49" s="25"/>
      <c r="I49" s="25"/>
      <c r="J49" s="25"/>
      <c r="K49" s="25"/>
      <c r="L49" s="5"/>
      <c r="M49" s="5"/>
      <c r="N49" s="5"/>
      <c r="O49" s="5"/>
      <c r="P49" s="5"/>
    </row>
    <row r="50" spans="1:19">
      <c r="A50" s="615"/>
      <c r="B50" s="615"/>
      <c r="C50" s="615"/>
      <c r="E50" s="615"/>
      <c r="F50" s="615"/>
      <c r="G50" s="615"/>
      <c r="H50" s="615"/>
      <c r="I50" s="5"/>
      <c r="J50" s="5"/>
      <c r="K50" s="5"/>
      <c r="L50" s="5"/>
      <c r="M50" s="5"/>
      <c r="N50" s="5"/>
      <c r="O50" s="5"/>
      <c r="P50" s="5"/>
    </row>
    <row r="51" spans="1:19" s="21" customFormat="1" ht="15">
      <c r="A51" s="92"/>
      <c r="B51" s="92"/>
      <c r="C51" s="57"/>
      <c r="D51" s="57"/>
      <c r="E51" s="57"/>
      <c r="F51" s="57"/>
      <c r="G51" s="57"/>
      <c r="H51" s="73"/>
      <c r="I51" s="78"/>
      <c r="J51" s="78"/>
      <c r="K51" s="78"/>
      <c r="L51" s="78"/>
      <c r="M51" s="78"/>
      <c r="N51" s="78"/>
      <c r="O51" s="78"/>
      <c r="P51" s="78"/>
    </row>
    <row r="52" spans="1:19" ht="15">
      <c r="A52" s="2" t="s">
        <v>457</v>
      </c>
      <c r="B52" s="92"/>
      <c r="C52" s="57"/>
      <c r="D52" s="57"/>
      <c r="E52" s="57"/>
      <c r="F52" s="57"/>
      <c r="G52" s="57"/>
      <c r="H52" s="73"/>
      <c r="I52" s="78"/>
      <c r="K52" s="78"/>
      <c r="L52" s="78"/>
      <c r="M52" s="78"/>
    </row>
    <row r="53" spans="1:19" ht="13.5" customHeight="1">
      <c r="A53" s="376" t="s">
        <v>458</v>
      </c>
      <c r="B53" s="290"/>
      <c r="C53" s="290"/>
      <c r="D53" s="290"/>
      <c r="E53" s="290"/>
      <c r="F53" s="290"/>
      <c r="G53" s="290"/>
      <c r="H53" s="290"/>
      <c r="I53" s="290"/>
      <c r="J53" s="290"/>
      <c r="K53" s="78"/>
      <c r="L53" s="78"/>
      <c r="M53" s="78"/>
    </row>
    <row r="54" spans="1:19" ht="15">
      <c r="A54" s="41"/>
      <c r="B54" s="122" t="s">
        <v>459</v>
      </c>
      <c r="C54" s="122" t="s">
        <v>460</v>
      </c>
      <c r="D54" s="122" t="s">
        <v>461</v>
      </c>
      <c r="E54" s="122" t="s">
        <v>462</v>
      </c>
      <c r="F54" s="122" t="s">
        <v>463</v>
      </c>
      <c r="G54" s="122" t="s">
        <v>351</v>
      </c>
      <c r="H54" s="126" t="s">
        <v>352</v>
      </c>
      <c r="I54" s="82" t="s">
        <v>214</v>
      </c>
      <c r="J54" s="82" t="s">
        <v>197</v>
      </c>
      <c r="K54" s="78"/>
      <c r="L54" s="78"/>
      <c r="M54" s="78"/>
    </row>
    <row r="55" spans="1:19" ht="15">
      <c r="A55" s="20" t="s">
        <v>464</v>
      </c>
      <c r="B55" s="379">
        <v>35624</v>
      </c>
      <c r="C55" s="379">
        <v>37325</v>
      </c>
      <c r="D55" s="379">
        <v>40138</v>
      </c>
      <c r="E55" s="379">
        <v>41941</v>
      </c>
      <c r="F55" s="379">
        <v>46713</v>
      </c>
      <c r="G55" s="379">
        <v>64804</v>
      </c>
      <c r="H55" s="379">
        <v>59530</v>
      </c>
      <c r="I55" s="379">
        <v>64636</v>
      </c>
      <c r="J55" s="379">
        <v>59672.055789773061</v>
      </c>
      <c r="K55" s="78"/>
      <c r="L55" s="78"/>
      <c r="M55" s="78"/>
    </row>
    <row r="56" spans="1:19" ht="15">
      <c r="A56" s="20" t="s">
        <v>465</v>
      </c>
      <c r="B56" s="379">
        <v>228770</v>
      </c>
      <c r="C56" s="379">
        <v>225853</v>
      </c>
      <c r="D56" s="379">
        <v>224511</v>
      </c>
      <c r="E56" s="379">
        <v>210321</v>
      </c>
      <c r="F56" s="379">
        <v>209065</v>
      </c>
      <c r="G56" s="379">
        <v>160840</v>
      </c>
      <c r="H56" s="380">
        <v>76420</v>
      </c>
      <c r="I56" s="339">
        <v>22944</v>
      </c>
      <c r="J56" s="339">
        <v>11051</v>
      </c>
      <c r="K56" s="78"/>
      <c r="L56" s="78"/>
      <c r="M56" s="78"/>
    </row>
    <row r="57" spans="1:19" ht="15">
      <c r="A57" s="20" t="s">
        <v>456</v>
      </c>
      <c r="B57" s="379">
        <v>9219282</v>
      </c>
      <c r="C57" s="379">
        <v>9433177</v>
      </c>
      <c r="D57" s="379">
        <v>9947164</v>
      </c>
      <c r="E57" s="379">
        <v>10269811</v>
      </c>
      <c r="F57" s="379">
        <v>10737016</v>
      </c>
      <c r="G57" s="379">
        <v>11604118</v>
      </c>
      <c r="H57" s="381">
        <v>10827234</v>
      </c>
      <c r="I57" s="382">
        <v>9953491</v>
      </c>
      <c r="J57" s="383">
        <v>9466520.47832915</v>
      </c>
      <c r="K57" s="78"/>
      <c r="L57" s="78"/>
      <c r="M57" s="78"/>
      <c r="N57" s="7"/>
      <c r="O57" s="7"/>
      <c r="P57" s="7"/>
      <c r="Q57" s="7"/>
      <c r="R57" s="7"/>
      <c r="S57" s="7"/>
    </row>
    <row r="58" spans="1:19" s="21" customFormat="1" ht="15">
      <c r="A58" s="92"/>
      <c r="B58" s="384"/>
      <c r="C58" s="384"/>
      <c r="D58" s="384"/>
      <c r="E58" s="384"/>
      <c r="F58" s="384"/>
      <c r="G58" s="384"/>
      <c r="H58" s="384"/>
      <c r="I58" s="384"/>
      <c r="J58" s="384"/>
      <c r="K58" s="78"/>
      <c r="L58" s="78"/>
      <c r="M58" s="78"/>
      <c r="N58" s="7"/>
      <c r="O58" s="7"/>
      <c r="P58" s="7"/>
      <c r="Q58" s="7"/>
      <c r="R58" s="7"/>
      <c r="S58" s="7"/>
    </row>
    <row r="59" spans="1:19" ht="15">
      <c r="B59" s="92"/>
      <c r="C59" s="57"/>
      <c r="J59" s="258"/>
    </row>
    <row r="60" spans="1:19" ht="15">
      <c r="A60" s="2" t="s">
        <v>91</v>
      </c>
      <c r="B60" s="92"/>
      <c r="C60" s="57"/>
      <c r="J60" s="258"/>
    </row>
    <row r="61" spans="1:19" s="6" customFormat="1" ht="18.75" customHeight="1">
      <c r="A61" s="755" t="s">
        <v>466</v>
      </c>
      <c r="B61" s="756"/>
      <c r="C61" s="756"/>
      <c r="D61" s="136"/>
      <c r="E61" s="24"/>
      <c r="F61" s="24"/>
    </row>
    <row r="62" spans="1:19" ht="22.5" customHeight="1">
      <c r="A62" s="133"/>
      <c r="B62" s="135" t="s">
        <v>467</v>
      </c>
      <c r="C62" s="135" t="s">
        <v>468</v>
      </c>
    </row>
    <row r="63" spans="1:19" ht="15">
      <c r="A63" s="134" t="s">
        <v>464</v>
      </c>
      <c r="B63" s="379">
        <f>J55</f>
        <v>59672.055789773061</v>
      </c>
      <c r="C63" s="391">
        <f>B63/B66</f>
        <v>6.2567402810151411E-3</v>
      </c>
      <c r="D63" s="263"/>
    </row>
    <row r="64" spans="1:19" ht="16.5" customHeight="1">
      <c r="A64" s="215" t="s">
        <v>469</v>
      </c>
      <c r="B64" s="379">
        <f>J56</f>
        <v>11051</v>
      </c>
      <c r="C64" s="391">
        <f>B64/B66</f>
        <v>1.1587205423103336E-3</v>
      </c>
    </row>
    <row r="65" spans="1:22" ht="15">
      <c r="A65" s="134" t="s">
        <v>456</v>
      </c>
      <c r="B65" s="379">
        <f>J57</f>
        <v>9466520.47832915</v>
      </c>
      <c r="C65" s="391">
        <f>B65/B66</f>
        <v>0.99258453917667455</v>
      </c>
      <c r="D65" s="262"/>
      <c r="H65" s="7"/>
      <c r="I65" s="7"/>
      <c r="J65" s="7"/>
      <c r="K65" s="7"/>
      <c r="L65" s="7"/>
    </row>
    <row r="66" spans="1:22" ht="15">
      <c r="A66" s="134" t="s">
        <v>209</v>
      </c>
      <c r="B66" s="392">
        <f>SUM(B63:B65)</f>
        <v>9537243.5341189224</v>
      </c>
      <c r="C66" s="481">
        <f>SUM(C63:C65)</f>
        <v>1</v>
      </c>
      <c r="D66" s="25"/>
      <c r="H66" s="7"/>
      <c r="I66" s="7"/>
      <c r="J66" s="7"/>
      <c r="K66" s="7"/>
      <c r="L66" s="7"/>
    </row>
    <row r="67" spans="1:22" ht="15">
      <c r="A67" s="21"/>
      <c r="B67" s="28"/>
      <c r="C67" s="28"/>
      <c r="D67" s="28"/>
      <c r="E67" s="127"/>
      <c r="F67" s="127"/>
      <c r="G67" s="127"/>
    </row>
    <row r="68" spans="1:22" ht="46.5" customHeight="1">
      <c r="A68" s="652" t="s">
        <v>470</v>
      </c>
      <c r="B68" s="652"/>
      <c r="C68" s="652"/>
      <c r="D68" s="652"/>
      <c r="E68" s="652"/>
      <c r="F68" s="652"/>
      <c r="G68" s="652"/>
    </row>
    <row r="69" spans="1:22">
      <c r="A69" s="604"/>
      <c r="B69" s="604"/>
      <c r="C69" s="604"/>
      <c r="D69" s="604"/>
      <c r="E69" s="604"/>
      <c r="F69" s="604"/>
      <c r="G69" s="604"/>
    </row>
    <row r="70" spans="1:22">
      <c r="A70" s="604"/>
      <c r="B70" s="604"/>
      <c r="C70" s="604"/>
      <c r="D70" s="604"/>
      <c r="E70" s="604"/>
      <c r="F70" s="604"/>
      <c r="G70" s="604"/>
    </row>
    <row r="71" spans="1:22" ht="15">
      <c r="A71" s="764" t="s">
        <v>471</v>
      </c>
      <c r="B71" s="764"/>
      <c r="C71" s="764"/>
      <c r="D71" s="764"/>
      <c r="E71" s="764"/>
      <c r="F71" s="764"/>
      <c r="G71" s="764"/>
      <c r="H71" s="764"/>
      <c r="I71" s="764"/>
      <c r="J71" s="764"/>
      <c r="K71" s="764"/>
      <c r="L71" s="764"/>
      <c r="M71" s="764"/>
      <c r="N71" s="764"/>
      <c r="O71" s="764"/>
      <c r="P71" s="764"/>
      <c r="Q71" s="764"/>
      <c r="R71"/>
      <c r="U71"/>
      <c r="V71"/>
    </row>
    <row r="72" spans="1:22" ht="15.95" customHeight="1">
      <c r="A72" s="771"/>
      <c r="B72" s="763" t="s">
        <v>472</v>
      </c>
      <c r="C72" s="763"/>
      <c r="D72" s="763"/>
      <c r="E72" s="763"/>
      <c r="F72" s="763"/>
      <c r="G72" s="763"/>
      <c r="H72" s="763"/>
      <c r="I72" s="763"/>
      <c r="J72" s="763" t="s">
        <v>473</v>
      </c>
      <c r="K72" s="763"/>
      <c r="L72" s="763"/>
      <c r="M72" s="763"/>
      <c r="N72" s="763"/>
      <c r="O72" s="763"/>
      <c r="P72" s="763"/>
      <c r="Q72" s="763"/>
      <c r="R72"/>
      <c r="U72"/>
      <c r="V72"/>
    </row>
    <row r="73" spans="1:22" ht="31.5" customHeight="1">
      <c r="A73" s="771"/>
      <c r="B73" s="513" t="s">
        <v>474</v>
      </c>
      <c r="C73" s="513" t="s">
        <v>475</v>
      </c>
      <c r="D73" s="513" t="s">
        <v>476</v>
      </c>
      <c r="E73" s="514" t="s">
        <v>477</v>
      </c>
      <c r="F73" s="513" t="s">
        <v>478</v>
      </c>
      <c r="G73" s="513" t="s">
        <v>479</v>
      </c>
      <c r="H73" s="513" t="s">
        <v>480</v>
      </c>
      <c r="I73" s="514" t="s">
        <v>481</v>
      </c>
      <c r="J73" s="513" t="s">
        <v>482</v>
      </c>
      <c r="K73" s="513" t="s">
        <v>483</v>
      </c>
      <c r="L73" s="513" t="s">
        <v>484</v>
      </c>
      <c r="M73" s="514" t="s">
        <v>485</v>
      </c>
      <c r="N73" s="513" t="s">
        <v>486</v>
      </c>
      <c r="O73" s="513" t="s">
        <v>487</v>
      </c>
      <c r="P73" s="513" t="s">
        <v>488</v>
      </c>
      <c r="Q73" s="514" t="s">
        <v>489</v>
      </c>
      <c r="R73"/>
      <c r="U73"/>
      <c r="V73"/>
    </row>
    <row r="74" spans="1:22" ht="15">
      <c r="A74" s="511" t="s">
        <v>490</v>
      </c>
      <c r="B74" s="512" t="s">
        <v>491</v>
      </c>
      <c r="C74" s="512" t="s">
        <v>492</v>
      </c>
      <c r="D74" s="512" t="s">
        <v>493</v>
      </c>
      <c r="E74" s="515">
        <v>17757</v>
      </c>
      <c r="F74" s="516">
        <v>68748</v>
      </c>
      <c r="G74" s="517">
        <v>41391</v>
      </c>
      <c r="H74" s="518" t="s">
        <v>494</v>
      </c>
      <c r="I74" s="515">
        <v>6048</v>
      </c>
      <c r="J74" s="519">
        <v>89898</v>
      </c>
      <c r="K74" s="520">
        <v>87682</v>
      </c>
      <c r="L74" s="520">
        <v>91880</v>
      </c>
      <c r="M74" s="521">
        <v>64677</v>
      </c>
      <c r="N74" s="520">
        <v>204033</v>
      </c>
      <c r="O74" s="520">
        <v>186654</v>
      </c>
      <c r="P74" s="520">
        <v>196685</v>
      </c>
      <c r="Q74" s="521">
        <v>195887</v>
      </c>
      <c r="R74"/>
      <c r="U74"/>
      <c r="V74"/>
    </row>
    <row r="75" spans="1:22" ht="15">
      <c r="A75" s="49" t="s">
        <v>495</v>
      </c>
      <c r="B75" s="341">
        <v>18488</v>
      </c>
      <c r="C75" s="341">
        <v>13934</v>
      </c>
      <c r="D75" s="342">
        <v>14530</v>
      </c>
      <c r="E75" s="522">
        <v>15532</v>
      </c>
      <c r="F75" s="523">
        <v>33769</v>
      </c>
      <c r="G75" s="524">
        <v>18352</v>
      </c>
      <c r="H75" s="525" t="s">
        <v>496</v>
      </c>
      <c r="I75" s="522">
        <v>2237</v>
      </c>
      <c r="J75" s="526">
        <v>73028</v>
      </c>
      <c r="K75" s="527">
        <v>49966</v>
      </c>
      <c r="L75" s="527">
        <v>53522</v>
      </c>
      <c r="M75" s="528">
        <v>58427</v>
      </c>
      <c r="N75" s="529">
        <v>152909</v>
      </c>
      <c r="O75" s="529">
        <v>121015</v>
      </c>
      <c r="P75" s="529">
        <v>115051</v>
      </c>
      <c r="Q75" s="528">
        <v>125000</v>
      </c>
      <c r="R75"/>
      <c r="U75"/>
      <c r="V75"/>
    </row>
    <row r="76" spans="1:22" ht="15">
      <c r="A76" s="49" t="s">
        <v>497</v>
      </c>
      <c r="B76" s="340">
        <v>1407</v>
      </c>
      <c r="C76" s="343">
        <v>227</v>
      </c>
      <c r="D76" s="344">
        <v>253</v>
      </c>
      <c r="E76" s="530">
        <v>318</v>
      </c>
      <c r="F76" s="531" t="s">
        <v>498</v>
      </c>
      <c r="G76" s="531" t="s">
        <v>498</v>
      </c>
      <c r="H76" s="531" t="s">
        <v>498</v>
      </c>
      <c r="I76" s="530" t="s">
        <v>498</v>
      </c>
      <c r="J76" s="526">
        <v>5582</v>
      </c>
      <c r="K76" s="527">
        <v>904</v>
      </c>
      <c r="L76" s="527">
        <v>1004</v>
      </c>
      <c r="M76" s="532">
        <v>1262</v>
      </c>
      <c r="N76" s="531" t="s">
        <v>498</v>
      </c>
      <c r="O76" s="531" t="s">
        <v>498</v>
      </c>
      <c r="P76" s="531" t="s">
        <v>498</v>
      </c>
      <c r="Q76" s="533" t="s">
        <v>498</v>
      </c>
      <c r="R76"/>
      <c r="U76"/>
      <c r="V76"/>
    </row>
    <row r="77" spans="1:22" ht="15">
      <c r="A77" s="49" t="s">
        <v>499</v>
      </c>
      <c r="B77" s="482" t="s">
        <v>500</v>
      </c>
      <c r="C77" s="482" t="s">
        <v>501</v>
      </c>
      <c r="D77" s="482" t="s">
        <v>502</v>
      </c>
      <c r="E77" s="522">
        <v>19696</v>
      </c>
      <c r="F77" s="523">
        <v>38829</v>
      </c>
      <c r="G77" s="524">
        <v>14523</v>
      </c>
      <c r="H77" s="525" t="s">
        <v>503</v>
      </c>
      <c r="I77" s="522">
        <v>2767</v>
      </c>
      <c r="J77" s="526">
        <v>47244</v>
      </c>
      <c r="K77" s="527">
        <v>54852</v>
      </c>
      <c r="L77" s="527">
        <v>59802</v>
      </c>
      <c r="M77" s="528">
        <v>49331</v>
      </c>
      <c r="N77" s="520">
        <v>191711</v>
      </c>
      <c r="O77" s="520">
        <v>197657</v>
      </c>
      <c r="P77" s="520">
        <v>194685</v>
      </c>
      <c r="Q77" s="528">
        <v>186625</v>
      </c>
      <c r="R77"/>
      <c r="U77"/>
      <c r="V77"/>
    </row>
    <row r="78" spans="1:22" ht="15">
      <c r="A78" s="49" t="s">
        <v>504</v>
      </c>
      <c r="B78" s="81">
        <v>2912</v>
      </c>
      <c r="C78" s="216">
        <v>1432</v>
      </c>
      <c r="D78" s="269">
        <v>3515</v>
      </c>
      <c r="E78" s="534">
        <v>4263</v>
      </c>
      <c r="F78" s="531" t="s">
        <v>498</v>
      </c>
      <c r="G78" s="531" t="s">
        <v>498</v>
      </c>
      <c r="H78" s="531" t="s">
        <v>498</v>
      </c>
      <c r="I78" s="530" t="s">
        <v>498</v>
      </c>
      <c r="J78" s="526">
        <v>11257</v>
      </c>
      <c r="K78" s="527">
        <v>5534</v>
      </c>
      <c r="L78" s="527">
        <v>13356</v>
      </c>
      <c r="M78" s="528">
        <v>16440</v>
      </c>
      <c r="N78" s="531" t="s">
        <v>498</v>
      </c>
      <c r="O78" s="531" t="s">
        <v>498</v>
      </c>
      <c r="P78" s="531" t="s">
        <v>498</v>
      </c>
      <c r="Q78" s="535" t="s">
        <v>498</v>
      </c>
      <c r="R78"/>
      <c r="U78"/>
      <c r="V78"/>
    </row>
    <row r="79" spans="1:22" ht="15">
      <c r="A79" s="49" t="s">
        <v>505</v>
      </c>
      <c r="B79" s="81">
        <v>1620</v>
      </c>
      <c r="C79" s="216">
        <v>1884</v>
      </c>
      <c r="D79" s="269">
        <v>1809</v>
      </c>
      <c r="E79" s="522">
        <v>2106</v>
      </c>
      <c r="F79" s="523">
        <v>19494</v>
      </c>
      <c r="G79" s="524">
        <v>2155</v>
      </c>
      <c r="H79" s="536">
        <v>2952</v>
      </c>
      <c r="I79" s="522">
        <v>0</v>
      </c>
      <c r="J79" s="526">
        <v>6311</v>
      </c>
      <c r="K79" s="527">
        <v>7604</v>
      </c>
      <c r="L79" s="527">
        <v>7219</v>
      </c>
      <c r="M79" s="528">
        <v>8708</v>
      </c>
      <c r="N79" s="527">
        <v>94290</v>
      </c>
      <c r="O79" s="527">
        <v>86885</v>
      </c>
      <c r="P79" s="527">
        <v>82116</v>
      </c>
      <c r="Q79" s="528">
        <v>73029</v>
      </c>
      <c r="R79"/>
      <c r="U79"/>
      <c r="V79"/>
    </row>
    <row r="80" spans="1:22" ht="15">
      <c r="A80" s="49" t="s">
        <v>276</v>
      </c>
      <c r="B80" s="482" t="s">
        <v>506</v>
      </c>
      <c r="C80" s="482" t="s">
        <v>507</v>
      </c>
      <c r="D80" s="482" t="s">
        <v>508</v>
      </c>
      <c r="E80" s="528">
        <v>59672</v>
      </c>
      <c r="F80" s="537">
        <v>160840</v>
      </c>
      <c r="G80" s="538">
        <v>76420</v>
      </c>
      <c r="H80" s="525" t="s">
        <v>509</v>
      </c>
      <c r="I80" s="528">
        <v>11051</v>
      </c>
      <c r="J80" s="526">
        <v>233320</v>
      </c>
      <c r="K80" s="527">
        <v>206541</v>
      </c>
      <c r="L80" s="527">
        <v>226783</v>
      </c>
      <c r="M80" s="528">
        <v>198845</v>
      </c>
      <c r="N80" s="527">
        <v>642943</v>
      </c>
      <c r="O80" s="527">
        <v>592211</v>
      </c>
      <c r="P80" s="527">
        <v>588537</v>
      </c>
      <c r="Q80" s="528">
        <v>580541</v>
      </c>
      <c r="R80"/>
      <c r="U80"/>
      <c r="V80"/>
    </row>
    <row r="81" spans="1:22" ht="15">
      <c r="A81" s="21"/>
      <c r="B81" s="393"/>
      <c r="C81" s="393"/>
      <c r="D81" s="393"/>
      <c r="E81" s="393"/>
      <c r="F81" s="393"/>
      <c r="G81" s="393"/>
      <c r="H81" s="393"/>
      <c r="I81" s="394"/>
      <c r="J81" s="393"/>
      <c r="K81" s="393"/>
      <c r="L81" s="393"/>
      <c r="M81" s="394"/>
      <c r="N81" s="393"/>
      <c r="O81" s="393"/>
      <c r="P81" s="393"/>
      <c r="Q81" s="393"/>
      <c r="R81"/>
      <c r="U81"/>
      <c r="V81"/>
    </row>
    <row r="82" spans="1:22" ht="45.75" customHeight="1">
      <c r="A82" s="652" t="s">
        <v>510</v>
      </c>
      <c r="B82" s="652"/>
      <c r="C82" s="652"/>
      <c r="D82" s="652"/>
      <c r="E82" s="652"/>
      <c r="F82" s="652"/>
      <c r="G82" s="652"/>
      <c r="I82" s="346"/>
      <c r="L82" s="243"/>
      <c r="R82"/>
      <c r="S82"/>
      <c r="T82"/>
      <c r="U82"/>
      <c r="V82"/>
    </row>
    <row r="83" spans="1:22" ht="58.5" customHeight="1">
      <c r="A83" s="652" t="s">
        <v>511</v>
      </c>
      <c r="B83" s="652"/>
      <c r="C83" s="652"/>
      <c r="D83" s="652"/>
      <c r="E83" s="652"/>
      <c r="F83" s="652"/>
      <c r="G83" s="652"/>
      <c r="I83" s="346"/>
      <c r="L83" s="243"/>
      <c r="R83"/>
      <c r="S83"/>
      <c r="T83"/>
      <c r="U83"/>
      <c r="V83"/>
    </row>
    <row r="84" spans="1:22" ht="58.5" customHeight="1">
      <c r="A84" s="652" t="s">
        <v>512</v>
      </c>
      <c r="B84" s="652"/>
      <c r="C84" s="652"/>
      <c r="D84" s="652"/>
      <c r="E84" s="652"/>
      <c r="F84" s="652"/>
      <c r="G84" s="652"/>
      <c r="I84" s="346"/>
      <c r="L84" s="243"/>
      <c r="R84"/>
      <c r="S84"/>
      <c r="T84"/>
      <c r="U84"/>
      <c r="V84"/>
    </row>
    <row r="85" spans="1:22" ht="48" customHeight="1">
      <c r="A85" s="652" t="s">
        <v>513</v>
      </c>
      <c r="B85" s="652"/>
      <c r="C85" s="652"/>
      <c r="D85" s="652"/>
      <c r="E85" s="652"/>
      <c r="F85" s="652"/>
      <c r="G85" s="652"/>
      <c r="I85" s="346"/>
      <c r="L85" s="243"/>
      <c r="R85"/>
      <c r="S85"/>
      <c r="T85"/>
      <c r="U85"/>
      <c r="V85"/>
    </row>
    <row r="86" spans="1:22" ht="60" customHeight="1">
      <c r="A86" s="652" t="s">
        <v>514</v>
      </c>
      <c r="B86" s="652"/>
      <c r="C86" s="652"/>
      <c r="D86" s="652"/>
      <c r="E86" s="652"/>
      <c r="F86" s="652"/>
      <c r="G86" s="652"/>
      <c r="I86" s="346"/>
      <c r="L86" s="243"/>
      <c r="R86"/>
      <c r="S86"/>
      <c r="T86"/>
      <c r="U86"/>
      <c r="V86"/>
    </row>
    <row r="87" spans="1:22" ht="42.75" customHeight="1">
      <c r="A87" s="652" t="s">
        <v>515</v>
      </c>
      <c r="B87" s="652"/>
      <c r="C87" s="652"/>
      <c r="D87" s="652"/>
      <c r="E87" s="652"/>
      <c r="F87" s="652"/>
      <c r="G87" s="652"/>
      <c r="I87" s="346"/>
      <c r="L87" s="243"/>
      <c r="R87"/>
      <c r="S87"/>
      <c r="T87"/>
      <c r="U87"/>
      <c r="V87"/>
    </row>
    <row r="88" spans="1:22" ht="57.75" customHeight="1">
      <c r="A88" s="652" t="s">
        <v>516</v>
      </c>
      <c r="B88" s="652"/>
      <c r="C88" s="652"/>
      <c r="D88" s="652"/>
      <c r="E88" s="652"/>
      <c r="F88" s="652"/>
      <c r="G88" s="652"/>
      <c r="I88" s="346"/>
      <c r="L88" s="243"/>
      <c r="R88"/>
      <c r="S88"/>
      <c r="T88"/>
      <c r="U88"/>
      <c r="V88"/>
    </row>
    <row r="89" spans="1:22" ht="15">
      <c r="A89" s="21"/>
      <c r="B89" s="28"/>
      <c r="C89" s="28"/>
      <c r="D89" s="28"/>
      <c r="E89" s="127"/>
      <c r="F89" s="127"/>
      <c r="G89" s="127"/>
      <c r="L89" s="243"/>
      <c r="M89" s="258"/>
    </row>
    <row r="90" spans="1:22" ht="15">
      <c r="A90" s="21"/>
      <c r="B90" s="28"/>
      <c r="C90" s="28"/>
      <c r="D90" s="28"/>
      <c r="E90" s="127"/>
      <c r="F90" s="127"/>
      <c r="G90" s="127"/>
      <c r="L90" s="243"/>
      <c r="M90" s="258"/>
    </row>
    <row r="91" spans="1:22" ht="15">
      <c r="A91" s="726" t="s">
        <v>517</v>
      </c>
      <c r="B91" s="727"/>
      <c r="C91" s="727"/>
      <c r="D91" s="727"/>
      <c r="E91" s="727"/>
      <c r="F91" s="267"/>
      <c r="G91" s="136"/>
    </row>
    <row r="92" spans="1:22" ht="14.1" customHeight="1">
      <c r="A92" s="539"/>
      <c r="B92" s="540" t="s">
        <v>351</v>
      </c>
      <c r="C92" s="540" t="s">
        <v>352</v>
      </c>
      <c r="D92" s="540" t="s">
        <v>214</v>
      </c>
      <c r="E92" s="540" t="s">
        <v>197</v>
      </c>
      <c r="F92" s="78"/>
    </row>
    <row r="93" spans="1:22" ht="14.45" customHeight="1">
      <c r="A93" s="543" t="s">
        <v>374</v>
      </c>
      <c r="B93" s="544"/>
      <c r="C93" s="544"/>
      <c r="D93" s="544"/>
      <c r="E93" s="545"/>
      <c r="F93" s="68"/>
    </row>
    <row r="94" spans="1:22" ht="14.1" customHeight="1">
      <c r="A94" s="499" t="s">
        <v>518</v>
      </c>
      <c r="B94" s="500">
        <v>6311</v>
      </c>
      <c r="C94" s="218">
        <v>7604</v>
      </c>
      <c r="D94" s="218">
        <v>7219</v>
      </c>
      <c r="E94" s="541">
        <v>8708</v>
      </c>
      <c r="F94" s="68"/>
      <c r="G94" s="153"/>
      <c r="P94" s="243"/>
    </row>
    <row r="95" spans="1:22" ht="15.95" customHeight="1">
      <c r="A95" s="19" t="s">
        <v>519</v>
      </c>
      <c r="B95" s="23">
        <v>1620</v>
      </c>
      <c r="C95" s="184">
        <v>1884</v>
      </c>
      <c r="D95" s="184">
        <v>1809</v>
      </c>
      <c r="E95" s="542">
        <v>2106</v>
      </c>
      <c r="F95" s="68"/>
      <c r="P95" s="243"/>
    </row>
    <row r="96" spans="1:22" ht="14.45" customHeight="1">
      <c r="A96" s="546" t="s">
        <v>520</v>
      </c>
      <c r="B96" s="547"/>
      <c r="C96" s="547"/>
      <c r="D96" s="547"/>
      <c r="E96" s="548"/>
      <c r="F96" s="68"/>
    </row>
    <row r="97" spans="1:6" ht="14.1" customHeight="1">
      <c r="A97" s="19" t="s">
        <v>518</v>
      </c>
      <c r="B97" s="23">
        <v>5582</v>
      </c>
      <c r="C97" s="184">
        <v>904</v>
      </c>
      <c r="D97" s="184">
        <v>1004</v>
      </c>
      <c r="E97" s="542">
        <v>1262</v>
      </c>
      <c r="F97" s="68"/>
    </row>
    <row r="98" spans="1:6" ht="15.95" customHeight="1">
      <c r="A98" s="19" t="s">
        <v>519</v>
      </c>
      <c r="B98" s="23">
        <v>1407</v>
      </c>
      <c r="C98" s="184">
        <v>227</v>
      </c>
      <c r="D98" s="184">
        <v>253</v>
      </c>
      <c r="E98" s="542">
        <v>318</v>
      </c>
      <c r="F98" s="68"/>
    </row>
    <row r="99" spans="1:6" ht="14.45" customHeight="1">
      <c r="A99" s="546" t="s">
        <v>504</v>
      </c>
      <c r="B99" s="547"/>
      <c r="C99" s="547"/>
      <c r="D99" s="547"/>
      <c r="E99" s="548"/>
      <c r="F99" s="68"/>
    </row>
    <row r="100" spans="1:6" ht="14.1" customHeight="1">
      <c r="A100" s="19" t="s">
        <v>518</v>
      </c>
      <c r="B100" s="23">
        <v>11257</v>
      </c>
      <c r="C100" s="184">
        <v>5534</v>
      </c>
      <c r="D100" s="184">
        <v>13356</v>
      </c>
      <c r="E100" s="542">
        <v>16440</v>
      </c>
      <c r="F100" s="68"/>
    </row>
    <row r="101" spans="1:6" ht="15.95" customHeight="1">
      <c r="A101" s="19" t="s">
        <v>519</v>
      </c>
      <c r="B101" s="23">
        <v>2912</v>
      </c>
      <c r="C101" s="184">
        <v>1432</v>
      </c>
      <c r="D101" s="184">
        <v>3515</v>
      </c>
      <c r="E101" s="542">
        <v>4263</v>
      </c>
      <c r="F101" s="68"/>
    </row>
    <row r="102" spans="1:6" ht="14.45" customHeight="1">
      <c r="A102" s="546" t="s">
        <v>499</v>
      </c>
      <c r="B102" s="547"/>
      <c r="C102" s="547"/>
      <c r="D102" s="547"/>
      <c r="E102" s="548"/>
      <c r="F102" s="68"/>
    </row>
    <row r="103" spans="1:6" ht="14.1" customHeight="1">
      <c r="A103" s="19" t="s">
        <v>518</v>
      </c>
      <c r="B103" s="23">
        <v>47244</v>
      </c>
      <c r="C103" s="184">
        <v>54852</v>
      </c>
      <c r="D103" s="184">
        <v>59802</v>
      </c>
      <c r="E103" s="542">
        <v>49331</v>
      </c>
      <c r="F103" s="68"/>
    </row>
    <row r="104" spans="1:6" ht="15.95" customHeight="1">
      <c r="A104" s="19" t="s">
        <v>519</v>
      </c>
      <c r="B104" s="23">
        <v>17577</v>
      </c>
      <c r="C104" s="184">
        <v>19689</v>
      </c>
      <c r="D104" s="482" t="s">
        <v>521</v>
      </c>
      <c r="E104" s="542">
        <v>19696</v>
      </c>
      <c r="F104" s="68"/>
    </row>
    <row r="105" spans="1:6" ht="14.45" customHeight="1">
      <c r="A105" s="546" t="s">
        <v>495</v>
      </c>
      <c r="B105" s="547"/>
      <c r="C105" s="547"/>
      <c r="D105" s="547"/>
      <c r="E105" s="548"/>
      <c r="F105" s="68"/>
    </row>
    <row r="106" spans="1:6" ht="14.1" customHeight="1">
      <c r="A106" s="19" t="s">
        <v>518</v>
      </c>
      <c r="B106" s="23">
        <v>73028</v>
      </c>
      <c r="C106" s="184">
        <v>49966</v>
      </c>
      <c r="D106" s="184">
        <v>53522</v>
      </c>
      <c r="E106" s="542">
        <v>58427</v>
      </c>
      <c r="F106" s="68"/>
    </row>
    <row r="107" spans="1:6" ht="15.95" customHeight="1">
      <c r="A107" s="19" t="s">
        <v>519</v>
      </c>
      <c r="B107" s="340">
        <v>18488</v>
      </c>
      <c r="C107" s="184">
        <v>13934</v>
      </c>
      <c r="D107" s="184">
        <v>14530</v>
      </c>
      <c r="E107" s="542">
        <v>15532</v>
      </c>
      <c r="F107" s="68"/>
    </row>
    <row r="108" spans="1:6" ht="14.45" customHeight="1">
      <c r="A108" s="546" t="s">
        <v>490</v>
      </c>
      <c r="B108" s="547"/>
      <c r="C108" s="547"/>
      <c r="D108" s="547"/>
      <c r="E108" s="548"/>
      <c r="F108" s="68"/>
    </row>
    <row r="109" spans="1:6" ht="14.1" customHeight="1">
      <c r="A109" s="19" t="s">
        <v>518</v>
      </c>
      <c r="B109" s="23">
        <v>89898</v>
      </c>
      <c r="C109" s="184">
        <v>87682</v>
      </c>
      <c r="D109" s="184">
        <v>91880</v>
      </c>
      <c r="E109" s="542">
        <v>64677</v>
      </c>
      <c r="F109" s="68"/>
    </row>
    <row r="110" spans="1:6" ht="15.95" customHeight="1">
      <c r="A110" s="19" t="s">
        <v>519</v>
      </c>
      <c r="B110" s="23">
        <v>22800.059902208603</v>
      </c>
      <c r="C110" s="184">
        <v>22363.407539747332</v>
      </c>
      <c r="D110" s="482" t="s">
        <v>522</v>
      </c>
      <c r="E110" s="542">
        <v>17757</v>
      </c>
      <c r="F110" s="68"/>
    </row>
    <row r="111" spans="1:6" ht="14.45" customHeight="1">
      <c r="A111" s="546" t="s">
        <v>276</v>
      </c>
      <c r="B111" s="547"/>
      <c r="C111" s="547"/>
      <c r="D111" s="547"/>
      <c r="E111" s="548"/>
      <c r="F111" s="68"/>
    </row>
    <row r="112" spans="1:6" ht="15">
      <c r="A112" s="19" t="s">
        <v>518</v>
      </c>
      <c r="B112" s="23">
        <f>J80</f>
        <v>233320</v>
      </c>
      <c r="C112" s="482" t="s">
        <v>523</v>
      </c>
      <c r="D112" s="482" t="s">
        <v>524</v>
      </c>
      <c r="E112" s="542">
        <f>M80</f>
        <v>198845</v>
      </c>
      <c r="F112" s="346"/>
    </row>
    <row r="113" spans="1:22" ht="15">
      <c r="A113" s="19" t="s">
        <v>519</v>
      </c>
      <c r="B113" s="23" t="str">
        <f>B80</f>
        <v>64,80493</v>
      </c>
      <c r="C113" s="23" t="str">
        <f>C80</f>
        <v>59,53093</v>
      </c>
      <c r="D113" s="482" t="s">
        <v>525</v>
      </c>
      <c r="E113" s="542">
        <f>E80</f>
        <v>59672</v>
      </c>
      <c r="F113" s="346"/>
    </row>
    <row r="114" spans="1:22" ht="15">
      <c r="B114" s="393"/>
      <c r="C114" s="394"/>
      <c r="D114" s="393"/>
      <c r="E114" s="394"/>
      <c r="F114" s="68"/>
      <c r="G114" s="57"/>
    </row>
    <row r="115" spans="1:22" ht="45.75" customHeight="1">
      <c r="A115" s="652" t="s">
        <v>526</v>
      </c>
      <c r="B115" s="652"/>
      <c r="C115" s="652"/>
      <c r="D115" s="652"/>
      <c r="E115" s="652"/>
      <c r="F115" s="652"/>
      <c r="G115" s="652"/>
      <c r="I115" s="346"/>
      <c r="L115" s="243"/>
      <c r="R115"/>
      <c r="S115"/>
      <c r="T115"/>
      <c r="U115"/>
      <c r="V115"/>
    </row>
    <row r="116" spans="1:22" ht="45" customHeight="1">
      <c r="A116" s="652" t="s">
        <v>527</v>
      </c>
      <c r="B116" s="652"/>
      <c r="C116" s="652"/>
      <c r="D116" s="652"/>
      <c r="E116" s="652"/>
      <c r="F116" s="652"/>
      <c r="G116" s="652"/>
      <c r="I116" s="346"/>
      <c r="L116" s="243"/>
      <c r="R116"/>
      <c r="S116"/>
      <c r="T116"/>
      <c r="U116"/>
      <c r="V116"/>
    </row>
    <row r="117" spans="1:22" ht="30.75" customHeight="1">
      <c r="A117" s="652" t="s">
        <v>528</v>
      </c>
      <c r="B117" s="652"/>
      <c r="C117" s="652"/>
      <c r="D117" s="652"/>
      <c r="E117" s="652"/>
      <c r="F117" s="652"/>
      <c r="G117" s="652"/>
      <c r="I117" s="346"/>
      <c r="L117" s="243"/>
      <c r="R117"/>
      <c r="S117"/>
      <c r="T117"/>
      <c r="U117"/>
      <c r="V117"/>
    </row>
    <row r="118" spans="1:22" ht="48" customHeight="1">
      <c r="A118" s="652" t="s">
        <v>529</v>
      </c>
      <c r="B118" s="652"/>
      <c r="C118" s="652"/>
      <c r="D118" s="652"/>
      <c r="E118" s="652"/>
      <c r="F118" s="652"/>
      <c r="G118" s="652"/>
      <c r="I118" s="346"/>
      <c r="L118" s="243"/>
      <c r="R118"/>
      <c r="S118"/>
      <c r="T118"/>
      <c r="U118"/>
      <c r="V118"/>
    </row>
    <row r="119" spans="1:22">
      <c r="A119" s="604"/>
      <c r="B119" s="604"/>
      <c r="C119" s="604"/>
      <c r="D119" s="604"/>
      <c r="E119" s="604"/>
      <c r="F119" s="604"/>
      <c r="G119" s="604"/>
    </row>
    <row r="120" spans="1:22">
      <c r="A120" s="604"/>
      <c r="B120" s="604"/>
      <c r="C120" s="604"/>
      <c r="D120" s="604"/>
      <c r="E120" s="604"/>
      <c r="F120" s="604"/>
      <c r="G120" s="604"/>
    </row>
    <row r="121" spans="1:22" s="6" customFormat="1" ht="16.5" customHeight="1">
      <c r="A121" s="757" t="s">
        <v>530</v>
      </c>
      <c r="B121" s="758"/>
      <c r="C121" s="758"/>
      <c r="D121" s="758"/>
      <c r="E121" s="758"/>
      <c r="F121" s="267"/>
      <c r="G121" s="154"/>
    </row>
    <row r="122" spans="1:22" s="6" customFormat="1" ht="16.5" customHeight="1">
      <c r="A122" s="551"/>
      <c r="B122" s="552" t="s">
        <v>351</v>
      </c>
      <c r="C122" s="552" t="s">
        <v>352</v>
      </c>
      <c r="D122" s="552" t="s">
        <v>214</v>
      </c>
      <c r="E122" s="552" t="s">
        <v>197</v>
      </c>
    </row>
    <row r="123" spans="1:22" s="6" customFormat="1" ht="16.5" customHeight="1">
      <c r="A123" s="554" t="s">
        <v>374</v>
      </c>
      <c r="B123" s="555"/>
      <c r="C123" s="555"/>
      <c r="D123" s="555"/>
      <c r="E123" s="556"/>
    </row>
    <row r="124" spans="1:22" s="6" customFormat="1" ht="16.5" customHeight="1">
      <c r="A124" s="553" t="s">
        <v>531</v>
      </c>
      <c r="B124" s="500">
        <v>94290</v>
      </c>
      <c r="C124" s="218">
        <v>86885</v>
      </c>
      <c r="D124" s="218">
        <v>82116</v>
      </c>
      <c r="E124" s="541">
        <v>73029</v>
      </c>
    </row>
    <row r="125" spans="1:22" s="6" customFormat="1" ht="16.5" customHeight="1">
      <c r="A125" s="295" t="s">
        <v>532</v>
      </c>
      <c r="B125" s="23">
        <v>94290</v>
      </c>
      <c r="C125" s="184">
        <v>86885</v>
      </c>
      <c r="D125" s="184">
        <v>82116</v>
      </c>
      <c r="E125" s="542">
        <v>72435</v>
      </c>
    </row>
    <row r="126" spans="1:22" s="6" customFormat="1" ht="16.5" customHeight="1">
      <c r="A126" s="295" t="s">
        <v>533</v>
      </c>
      <c r="B126" s="23">
        <v>0</v>
      </c>
      <c r="C126" s="184">
        <v>0</v>
      </c>
      <c r="D126" s="184">
        <v>0</v>
      </c>
      <c r="E126" s="542">
        <v>594</v>
      </c>
    </row>
    <row r="127" spans="1:22" s="6" customFormat="1" ht="16.5" customHeight="1">
      <c r="A127" s="295" t="s">
        <v>534</v>
      </c>
      <c r="B127" s="23">
        <v>46059</v>
      </c>
      <c r="C127" s="184">
        <v>42151</v>
      </c>
      <c r="D127" s="184">
        <v>38531</v>
      </c>
      <c r="E127" s="542">
        <v>34896</v>
      </c>
    </row>
    <row r="128" spans="1:22" s="6" customFormat="1" ht="16.5" customHeight="1">
      <c r="A128" s="295" t="s">
        <v>535</v>
      </c>
      <c r="B128" s="23">
        <v>19494</v>
      </c>
      <c r="C128" s="217">
        <v>2155</v>
      </c>
      <c r="D128" s="217">
        <v>2952</v>
      </c>
      <c r="E128" s="549">
        <v>0</v>
      </c>
    </row>
    <row r="129" spans="1:10" s="6" customFormat="1" ht="16.5" customHeight="1">
      <c r="A129" s="277" t="s">
        <v>499</v>
      </c>
      <c r="B129" s="292"/>
      <c r="C129" s="292"/>
      <c r="D129" s="292"/>
      <c r="E129" s="396"/>
    </row>
    <row r="130" spans="1:10" s="6" customFormat="1" ht="16.5" customHeight="1">
      <c r="A130" s="295" t="s">
        <v>531</v>
      </c>
      <c r="B130" s="23">
        <v>191711</v>
      </c>
      <c r="C130" s="218">
        <v>197657</v>
      </c>
      <c r="D130" s="218">
        <v>194685</v>
      </c>
      <c r="E130" s="541">
        <v>186625</v>
      </c>
    </row>
    <row r="131" spans="1:10" s="6" customFormat="1" ht="16.5" customHeight="1">
      <c r="A131" s="295" t="s">
        <v>532</v>
      </c>
      <c r="B131" s="23">
        <v>173775</v>
      </c>
      <c r="C131" s="184">
        <v>174388</v>
      </c>
      <c r="D131" s="184">
        <v>174851</v>
      </c>
      <c r="E131" s="542">
        <v>167170</v>
      </c>
    </row>
    <row r="132" spans="1:10" s="6" customFormat="1" ht="16.5" customHeight="1">
      <c r="A132" s="295" t="s">
        <v>533</v>
      </c>
      <c r="B132" s="23">
        <v>6805</v>
      </c>
      <c r="C132" s="184">
        <v>8150</v>
      </c>
      <c r="D132" s="184">
        <v>10294</v>
      </c>
      <c r="E132" s="542">
        <v>12244</v>
      </c>
    </row>
    <row r="133" spans="1:10" s="6" customFormat="1" ht="16.5" customHeight="1">
      <c r="A133" s="295" t="s">
        <v>536</v>
      </c>
      <c r="B133" s="23">
        <v>11131</v>
      </c>
      <c r="C133" s="184">
        <v>15120</v>
      </c>
      <c r="D133" s="184">
        <v>9540</v>
      </c>
      <c r="E133" s="542">
        <v>4417</v>
      </c>
    </row>
    <row r="134" spans="1:10" s="6" customFormat="1" ht="16.5" customHeight="1">
      <c r="A134" s="295" t="s">
        <v>537</v>
      </c>
      <c r="B134" s="23">
        <v>0</v>
      </c>
      <c r="C134" s="23">
        <v>0</v>
      </c>
      <c r="D134" s="23">
        <v>0</v>
      </c>
      <c r="E134" s="542">
        <v>2794</v>
      </c>
    </row>
    <row r="135" spans="1:10" s="6" customFormat="1" ht="16.5" customHeight="1">
      <c r="A135" s="295" t="s">
        <v>534</v>
      </c>
      <c r="B135" s="23">
        <v>79178</v>
      </c>
      <c r="C135" s="184">
        <v>81550</v>
      </c>
      <c r="D135" s="184">
        <v>62811</v>
      </c>
      <c r="E135" s="542">
        <v>62540</v>
      </c>
    </row>
    <row r="136" spans="1:10" s="6" customFormat="1" ht="16.5" customHeight="1">
      <c r="A136" s="295" t="s">
        <v>535</v>
      </c>
      <c r="B136" s="23">
        <v>38829</v>
      </c>
      <c r="C136" s="184">
        <v>14523</v>
      </c>
      <c r="D136" s="557" t="s">
        <v>538</v>
      </c>
      <c r="E136" s="542">
        <v>2767</v>
      </c>
    </row>
    <row r="137" spans="1:10" s="118" customFormat="1" ht="16.5" customHeight="1">
      <c r="A137" s="278" t="s">
        <v>539</v>
      </c>
      <c r="B137" s="293"/>
      <c r="C137" s="293"/>
      <c r="D137" s="293"/>
      <c r="E137" s="446"/>
      <c r="H137" s="6"/>
      <c r="I137" s="6"/>
      <c r="J137" s="6"/>
    </row>
    <row r="138" spans="1:10" s="118" customFormat="1" ht="16.5" customHeight="1">
      <c r="A138" s="296" t="s">
        <v>531</v>
      </c>
      <c r="B138" s="275">
        <v>152909</v>
      </c>
      <c r="C138" s="282">
        <v>121015</v>
      </c>
      <c r="D138" s="282">
        <v>115051</v>
      </c>
      <c r="E138" s="542">
        <v>125000</v>
      </c>
      <c r="H138" s="6"/>
      <c r="I138" s="6"/>
      <c r="J138" s="6"/>
    </row>
    <row r="139" spans="1:10" s="118" customFormat="1" ht="16.5" customHeight="1">
      <c r="A139" s="296" t="s">
        <v>540</v>
      </c>
      <c r="B139" s="275">
        <v>152281</v>
      </c>
      <c r="C139" s="282">
        <v>120608</v>
      </c>
      <c r="D139" s="282">
        <v>113766</v>
      </c>
      <c r="E139" s="542">
        <v>123338</v>
      </c>
      <c r="H139" s="6"/>
      <c r="I139" s="6"/>
      <c r="J139" s="6"/>
    </row>
    <row r="140" spans="1:10" s="118" customFormat="1" ht="16.5" customHeight="1">
      <c r="A140" s="296" t="s">
        <v>541</v>
      </c>
      <c r="B140" s="275">
        <v>628</v>
      </c>
      <c r="C140" s="282">
        <v>407</v>
      </c>
      <c r="D140" s="282">
        <v>1285</v>
      </c>
      <c r="E140" s="542">
        <v>1662</v>
      </c>
      <c r="H140" s="6"/>
      <c r="I140" s="6"/>
      <c r="J140" s="6"/>
    </row>
    <row r="141" spans="1:10" s="118" customFormat="1" ht="16.5" customHeight="1">
      <c r="A141" s="296" t="s">
        <v>542</v>
      </c>
      <c r="B141" s="275">
        <v>56446</v>
      </c>
      <c r="C141" s="282">
        <v>46956</v>
      </c>
      <c r="D141" s="282">
        <v>41620</v>
      </c>
      <c r="E141" s="542">
        <v>44685</v>
      </c>
      <c r="H141" s="6"/>
      <c r="I141" s="6"/>
      <c r="J141" s="6"/>
    </row>
    <row r="142" spans="1:10" s="118" customFormat="1" ht="16.5" customHeight="1">
      <c r="A142" s="296" t="s">
        <v>543</v>
      </c>
      <c r="B142" s="275">
        <v>33769</v>
      </c>
      <c r="C142" s="282">
        <v>18352</v>
      </c>
      <c r="D142" s="557" t="s">
        <v>544</v>
      </c>
      <c r="E142" s="542">
        <v>2237</v>
      </c>
      <c r="H142" s="6"/>
      <c r="I142" s="6"/>
      <c r="J142" s="6"/>
    </row>
    <row r="143" spans="1:10" s="6" customFormat="1" ht="16.5" customHeight="1">
      <c r="A143" s="278" t="s">
        <v>490</v>
      </c>
      <c r="B143" s="293"/>
      <c r="C143" s="293"/>
      <c r="D143" s="293"/>
      <c r="E143" s="446"/>
    </row>
    <row r="144" spans="1:10" s="6" customFormat="1" ht="16.5" customHeight="1">
      <c r="A144" s="295" t="s">
        <v>531</v>
      </c>
      <c r="B144" s="23">
        <v>204033</v>
      </c>
      <c r="C144" s="184">
        <v>186654</v>
      </c>
      <c r="D144" s="184">
        <v>196685</v>
      </c>
      <c r="E144" s="542">
        <v>195887</v>
      </c>
    </row>
    <row r="145" spans="1:22" s="6" customFormat="1" ht="16.5" customHeight="1">
      <c r="A145" s="295" t="s">
        <v>532</v>
      </c>
      <c r="B145" s="23">
        <v>204033</v>
      </c>
      <c r="C145" s="184">
        <v>186654</v>
      </c>
      <c r="D145" s="184">
        <v>196685</v>
      </c>
      <c r="E145" s="542">
        <v>195887</v>
      </c>
    </row>
    <row r="146" spans="1:22" s="6" customFormat="1" ht="16.5" customHeight="1">
      <c r="A146" s="295" t="s">
        <v>534</v>
      </c>
      <c r="B146" s="23">
        <v>89493</v>
      </c>
      <c r="C146" s="184">
        <v>80922</v>
      </c>
      <c r="D146" s="184">
        <v>81073</v>
      </c>
      <c r="E146" s="542">
        <v>80526</v>
      </c>
    </row>
    <row r="147" spans="1:22" s="6" customFormat="1" ht="16.5" customHeight="1">
      <c r="A147" s="295" t="s">
        <v>535</v>
      </c>
      <c r="B147" s="23">
        <v>68748</v>
      </c>
      <c r="C147" s="184">
        <v>41391</v>
      </c>
      <c r="D147" s="557" t="s">
        <v>545</v>
      </c>
      <c r="E147" s="542">
        <v>6048</v>
      </c>
    </row>
    <row r="148" spans="1:22" s="6" customFormat="1" ht="16.5" customHeight="1">
      <c r="A148" s="276" t="s">
        <v>276</v>
      </c>
      <c r="B148" s="294"/>
      <c r="C148" s="294"/>
      <c r="D148" s="294"/>
      <c r="E148" s="397"/>
      <c r="F148" s="346"/>
    </row>
    <row r="149" spans="1:22" s="6" customFormat="1" ht="16.5" customHeight="1">
      <c r="A149" s="27" t="s">
        <v>531</v>
      </c>
      <c r="B149" s="23">
        <v>642943</v>
      </c>
      <c r="C149" s="184">
        <v>592211</v>
      </c>
      <c r="D149" s="184">
        <v>588537</v>
      </c>
      <c r="E149" s="542">
        <v>580541</v>
      </c>
      <c r="F149" s="558"/>
      <c r="G149" s="558"/>
    </row>
    <row r="150" spans="1:22" s="6" customFormat="1" ht="16.5" customHeight="1">
      <c r="A150" s="27" t="s">
        <v>532</v>
      </c>
      <c r="B150" s="23">
        <v>624379</v>
      </c>
      <c r="C150" s="184">
        <v>568535</v>
      </c>
      <c r="D150" s="184">
        <v>567418</v>
      </c>
      <c r="E150" s="542">
        <v>558830</v>
      </c>
      <c r="F150" s="558"/>
      <c r="G150" s="558"/>
    </row>
    <row r="151" spans="1:22" s="6" customFormat="1" ht="16.5" customHeight="1">
      <c r="A151" s="27" t="s">
        <v>533</v>
      </c>
      <c r="B151" s="23">
        <v>7433</v>
      </c>
      <c r="C151" s="184">
        <v>8557</v>
      </c>
      <c r="D151" s="184">
        <v>11579</v>
      </c>
      <c r="E151" s="542">
        <v>14499</v>
      </c>
      <c r="F151" s="558"/>
      <c r="G151" s="558"/>
    </row>
    <row r="152" spans="1:22" s="6" customFormat="1" ht="16.5" customHeight="1">
      <c r="A152" s="27" t="s">
        <v>536</v>
      </c>
      <c r="B152" s="23">
        <v>11131</v>
      </c>
      <c r="C152" s="184">
        <v>15120</v>
      </c>
      <c r="D152" s="184">
        <v>9540</v>
      </c>
      <c r="E152" s="542">
        <v>4417</v>
      </c>
      <c r="F152" s="558"/>
      <c r="G152" s="558"/>
    </row>
    <row r="153" spans="1:22" s="6" customFormat="1" ht="16.5" customHeight="1">
      <c r="A153" s="295" t="s">
        <v>537</v>
      </c>
      <c r="B153" s="23">
        <v>0</v>
      </c>
      <c r="C153" s="23">
        <v>0</v>
      </c>
      <c r="D153" s="23">
        <v>0</v>
      </c>
      <c r="E153" s="542">
        <v>2794</v>
      </c>
      <c r="F153" s="558"/>
      <c r="G153" s="558"/>
    </row>
    <row r="154" spans="1:22" s="6" customFormat="1" ht="16.5" customHeight="1">
      <c r="A154" s="27" t="s">
        <v>534</v>
      </c>
      <c r="B154" s="23">
        <v>271176</v>
      </c>
      <c r="C154" s="23">
        <v>251579</v>
      </c>
      <c r="D154" s="23">
        <v>224035</v>
      </c>
      <c r="E154" s="542">
        <v>222647</v>
      </c>
      <c r="F154" s="558"/>
      <c r="G154" s="558"/>
    </row>
    <row r="155" spans="1:22" s="6" customFormat="1" ht="16.5" customHeight="1">
      <c r="A155" s="27" t="s">
        <v>535</v>
      </c>
      <c r="B155" s="23">
        <f>F80</f>
        <v>160840</v>
      </c>
      <c r="C155" s="23">
        <f>G80</f>
        <v>76420</v>
      </c>
      <c r="D155" s="557" t="s">
        <v>546</v>
      </c>
      <c r="E155" s="559" t="s">
        <v>547</v>
      </c>
      <c r="F155" s="558"/>
      <c r="G155" s="558"/>
    </row>
    <row r="156" spans="1:22" ht="18" customHeight="1">
      <c r="B156" s="1"/>
      <c r="C156" s="1"/>
      <c r="D156" s="243"/>
      <c r="E156" s="1"/>
      <c r="F156" s="1"/>
    </row>
    <row r="157" spans="1:22" ht="55.5" customHeight="1">
      <c r="A157" s="652" t="s">
        <v>548</v>
      </c>
      <c r="B157" s="652"/>
      <c r="C157" s="652"/>
      <c r="D157" s="652"/>
      <c r="E157" s="652"/>
      <c r="F157" s="652"/>
      <c r="G157" s="652"/>
      <c r="I157" s="346"/>
      <c r="L157" s="243"/>
      <c r="R157"/>
      <c r="S157"/>
      <c r="T157"/>
      <c r="U157"/>
      <c r="V157"/>
    </row>
    <row r="158" spans="1:22" ht="56.25" customHeight="1">
      <c r="A158" s="652" t="s">
        <v>549</v>
      </c>
      <c r="B158" s="652"/>
      <c r="C158" s="652"/>
      <c r="D158" s="652"/>
      <c r="E158" s="652"/>
      <c r="F158" s="652"/>
      <c r="G158" s="652"/>
      <c r="I158" s="346"/>
      <c r="L158" s="243"/>
      <c r="R158"/>
      <c r="S158"/>
      <c r="T158"/>
      <c r="U158"/>
      <c r="V158"/>
    </row>
    <row r="159" spans="1:22" ht="56.25" customHeight="1">
      <c r="A159" s="652" t="s">
        <v>550</v>
      </c>
      <c r="B159" s="652"/>
      <c r="C159" s="652"/>
      <c r="D159" s="652"/>
      <c r="E159" s="652"/>
      <c r="F159" s="652"/>
      <c r="G159" s="652"/>
      <c r="I159" s="346"/>
      <c r="L159" s="243"/>
      <c r="R159"/>
      <c r="S159"/>
      <c r="T159"/>
      <c r="U159"/>
      <c r="V159"/>
    </row>
    <row r="160" spans="1:22" ht="35.25" customHeight="1">
      <c r="A160" s="652" t="s">
        <v>551</v>
      </c>
      <c r="B160" s="652"/>
      <c r="C160" s="652"/>
      <c r="D160" s="652"/>
      <c r="E160" s="652"/>
      <c r="F160" s="652"/>
      <c r="G160" s="652"/>
      <c r="I160" s="346"/>
      <c r="L160" s="243"/>
      <c r="R160"/>
      <c r="S160"/>
      <c r="T160"/>
      <c r="U160"/>
      <c r="V160"/>
    </row>
    <row r="161" spans="1:19">
      <c r="A161" s="605"/>
      <c r="B161" s="605"/>
      <c r="C161" s="605"/>
      <c r="D161" s="1"/>
      <c r="E161" s="605"/>
      <c r="F161" s="605"/>
      <c r="G161" s="605"/>
    </row>
    <row r="162" spans="1:19">
      <c r="A162" s="605"/>
      <c r="B162" s="605"/>
      <c r="C162" s="605"/>
      <c r="D162" s="1"/>
      <c r="E162" s="605"/>
      <c r="F162" s="605"/>
      <c r="G162" s="605"/>
    </row>
    <row r="163" spans="1:19" ht="15">
      <c r="A163" s="759" t="s">
        <v>552</v>
      </c>
      <c r="B163" s="760"/>
      <c r="C163" s="760"/>
      <c r="D163" s="760"/>
      <c r="E163" s="760"/>
      <c r="F163" s="4"/>
      <c r="G163" s="25"/>
      <c r="M163" s="5"/>
    </row>
    <row r="164" spans="1:19" ht="14.1" customHeight="1">
      <c r="A164" s="15"/>
      <c r="B164" s="283" t="s">
        <v>351</v>
      </c>
      <c r="C164" s="283" t="s">
        <v>553</v>
      </c>
      <c r="D164" s="283" t="s">
        <v>214</v>
      </c>
      <c r="E164" s="283" t="s">
        <v>197</v>
      </c>
      <c r="F164" s="4"/>
      <c r="K164" s="5"/>
      <c r="L164" s="5"/>
      <c r="M164" s="5"/>
    </row>
    <row r="165" spans="1:19" ht="14.1" customHeight="1">
      <c r="A165" s="13" t="s">
        <v>554</v>
      </c>
      <c r="B165" s="624">
        <v>1388826</v>
      </c>
      <c r="C165" s="281">
        <v>1411754</v>
      </c>
      <c r="D165" s="281">
        <v>1469481</v>
      </c>
      <c r="E165" s="542">
        <v>1397345</v>
      </c>
      <c r="F165" s="4"/>
      <c r="M165" s="5"/>
    </row>
    <row r="166" spans="1:19" ht="14.1" customHeight="1">
      <c r="A166" s="13" t="s">
        <v>555</v>
      </c>
      <c r="B166" s="624">
        <v>89865</v>
      </c>
      <c r="C166" s="281">
        <v>72601</v>
      </c>
      <c r="D166" s="281">
        <v>87753</v>
      </c>
      <c r="E166" s="542">
        <v>83851</v>
      </c>
      <c r="F166" s="4"/>
      <c r="K166" s="5"/>
      <c r="L166" s="5"/>
      <c r="M166" s="5"/>
    </row>
    <row r="167" spans="1:19" ht="30" customHeight="1">
      <c r="A167" s="618" t="s">
        <v>556</v>
      </c>
      <c r="B167" s="624">
        <v>207713</v>
      </c>
      <c r="C167" s="281">
        <v>193463</v>
      </c>
      <c r="D167" s="281">
        <v>194364</v>
      </c>
      <c r="E167" s="542">
        <v>189520</v>
      </c>
      <c r="M167" s="5"/>
    </row>
    <row r="168" spans="1:19" ht="30" customHeight="1">
      <c r="A168" s="618" t="s">
        <v>557</v>
      </c>
      <c r="B168" s="624">
        <v>785487</v>
      </c>
      <c r="C168" s="281">
        <v>727076</v>
      </c>
      <c r="D168" s="281">
        <v>767499</v>
      </c>
      <c r="E168" s="542">
        <v>731058</v>
      </c>
      <c r="K168" s="5"/>
      <c r="L168" s="5"/>
      <c r="M168" s="5"/>
    </row>
    <row r="169" spans="1:19" ht="15">
      <c r="A169" s="13" t="s">
        <v>558</v>
      </c>
      <c r="B169" s="624">
        <v>1013581</v>
      </c>
      <c r="C169" s="281">
        <v>275199</v>
      </c>
      <c r="D169" s="281">
        <v>413998</v>
      </c>
      <c r="E169" s="542">
        <v>443380.89</v>
      </c>
      <c r="F169" s="86"/>
      <c r="G169" s="86"/>
      <c r="M169" s="5"/>
    </row>
    <row r="170" spans="1:19" ht="15">
      <c r="A170" s="13" t="s">
        <v>559</v>
      </c>
      <c r="B170" s="624">
        <v>164690</v>
      </c>
      <c r="C170" s="281">
        <v>184719</v>
      </c>
      <c r="D170" s="281">
        <v>152869</v>
      </c>
      <c r="E170" s="395">
        <v>120152.87999999999</v>
      </c>
      <c r="F170" s="86"/>
      <c r="G170" s="86"/>
      <c r="K170" s="5"/>
      <c r="L170" s="5"/>
      <c r="M170" s="5"/>
    </row>
    <row r="171" spans="1:19">
      <c r="A171" s="604"/>
      <c r="B171" s="604"/>
      <c r="C171" s="604"/>
      <c r="D171" s="604"/>
      <c r="E171" s="604"/>
      <c r="F171" s="604"/>
      <c r="G171" s="605"/>
    </row>
    <row r="173" spans="1:19" ht="16.350000000000001" customHeight="1">
      <c r="A173" s="95" t="s">
        <v>560</v>
      </c>
    </row>
    <row r="174" spans="1:19" s="229" customFormat="1" ht="15">
      <c r="A174" s="761" t="s">
        <v>561</v>
      </c>
      <c r="B174" s="762"/>
      <c r="C174" s="762"/>
      <c r="D174" s="762"/>
      <c r="E174" s="762"/>
      <c r="F174" s="762"/>
      <c r="G174" s="762"/>
      <c r="H174" s="762"/>
      <c r="I174" s="762"/>
      <c r="J174" s="762"/>
      <c r="K174" s="1"/>
      <c r="L174" s="1"/>
      <c r="M174" s="1"/>
      <c r="N174" s="1"/>
      <c r="O174" s="1"/>
      <c r="P174" s="1"/>
      <c r="Q174" s="1"/>
      <c r="R174" s="25"/>
      <c r="S174" s="25"/>
    </row>
    <row r="175" spans="1:19" ht="15">
      <c r="A175" s="17"/>
      <c r="B175" s="18" t="s">
        <v>459</v>
      </c>
      <c r="C175" s="18" t="s">
        <v>460</v>
      </c>
      <c r="D175" s="18" t="s">
        <v>461</v>
      </c>
      <c r="E175" s="18" t="s">
        <v>462</v>
      </c>
      <c r="F175" s="18" t="s">
        <v>463</v>
      </c>
      <c r="G175" s="18" t="s">
        <v>351</v>
      </c>
      <c r="H175" s="18" t="s">
        <v>352</v>
      </c>
      <c r="I175" s="18" t="s">
        <v>214</v>
      </c>
      <c r="J175" s="18" t="s">
        <v>197</v>
      </c>
    </row>
    <row r="176" spans="1:19" ht="15">
      <c r="A176" s="630" t="s">
        <v>464</v>
      </c>
      <c r="B176" s="631"/>
      <c r="C176" s="631"/>
      <c r="D176" s="631"/>
      <c r="E176" s="631"/>
      <c r="F176" s="631"/>
      <c r="G176" s="631"/>
      <c r="H176" s="631"/>
      <c r="I176" s="631"/>
      <c r="J176" s="246"/>
    </row>
    <row r="177" spans="1:19" ht="15">
      <c r="A177" s="27" t="s">
        <v>505</v>
      </c>
      <c r="B177" s="275">
        <v>126</v>
      </c>
      <c r="C177" s="275">
        <v>114</v>
      </c>
      <c r="D177" s="275">
        <v>145</v>
      </c>
      <c r="E177" s="275">
        <v>496</v>
      </c>
      <c r="F177" s="275">
        <v>1229</v>
      </c>
      <c r="G177" s="23">
        <v>1620</v>
      </c>
      <c r="H177" s="23">
        <v>1884</v>
      </c>
      <c r="I177" s="23">
        <v>1809</v>
      </c>
      <c r="J177" s="542">
        <v>2106</v>
      </c>
    </row>
    <row r="178" spans="1:19" ht="15">
      <c r="A178" s="27" t="s">
        <v>497</v>
      </c>
      <c r="B178" s="275">
        <v>406</v>
      </c>
      <c r="C178" s="275">
        <v>535</v>
      </c>
      <c r="D178" s="275">
        <v>666</v>
      </c>
      <c r="E178" s="275">
        <v>627</v>
      </c>
      <c r="F178" s="275">
        <v>555</v>
      </c>
      <c r="G178" s="23">
        <v>1407</v>
      </c>
      <c r="H178" s="23">
        <v>227</v>
      </c>
      <c r="I178" s="23">
        <v>253</v>
      </c>
      <c r="J178" s="542">
        <v>318</v>
      </c>
    </row>
    <row r="179" spans="1:19" ht="15">
      <c r="A179" s="27" t="s">
        <v>504</v>
      </c>
      <c r="B179" s="275">
        <v>3576</v>
      </c>
      <c r="C179" s="275">
        <v>4392</v>
      </c>
      <c r="D179" s="275">
        <v>3391</v>
      </c>
      <c r="E179" s="275">
        <v>3773</v>
      </c>
      <c r="F179" s="275">
        <v>3162</v>
      </c>
      <c r="G179" s="23">
        <v>2912</v>
      </c>
      <c r="H179" s="23">
        <v>1432</v>
      </c>
      <c r="I179" s="23">
        <v>3515</v>
      </c>
      <c r="J179" s="542">
        <v>4263</v>
      </c>
    </row>
    <row r="180" spans="1:19" ht="15">
      <c r="A180" s="27" t="s">
        <v>499</v>
      </c>
      <c r="B180" s="275">
        <v>8084</v>
      </c>
      <c r="C180" s="275">
        <v>6698</v>
      </c>
      <c r="D180" s="275">
        <v>7861</v>
      </c>
      <c r="E180" s="275">
        <v>10048</v>
      </c>
      <c r="F180" s="275">
        <v>10408</v>
      </c>
      <c r="G180" s="23">
        <v>17577</v>
      </c>
      <c r="H180" s="23">
        <v>19689</v>
      </c>
      <c r="I180" s="482" t="s">
        <v>562</v>
      </c>
      <c r="J180" s="542">
        <v>19696</v>
      </c>
    </row>
    <row r="181" spans="1:19" ht="15">
      <c r="A181" s="27" t="s">
        <v>495</v>
      </c>
      <c r="B181" s="275">
        <v>10009</v>
      </c>
      <c r="C181" s="275">
        <v>11623</v>
      </c>
      <c r="D181" s="275">
        <v>13168</v>
      </c>
      <c r="E181" s="275">
        <v>10975</v>
      </c>
      <c r="F181" s="275">
        <v>13612</v>
      </c>
      <c r="G181" s="23">
        <v>18488</v>
      </c>
      <c r="H181" s="23">
        <v>13934</v>
      </c>
      <c r="I181" s="23">
        <v>14530</v>
      </c>
      <c r="J181" s="542">
        <v>15532</v>
      </c>
    </row>
    <row r="182" spans="1:19" ht="15">
      <c r="A182" s="27" t="s">
        <v>490</v>
      </c>
      <c r="B182" s="275">
        <v>13423</v>
      </c>
      <c r="C182" s="275">
        <v>13963</v>
      </c>
      <c r="D182" s="275">
        <v>14907</v>
      </c>
      <c r="E182" s="275">
        <v>16022</v>
      </c>
      <c r="F182" s="275">
        <v>17747</v>
      </c>
      <c r="G182" s="23">
        <v>22800</v>
      </c>
      <c r="H182" s="23">
        <v>22363</v>
      </c>
      <c r="I182" s="482" t="s">
        <v>563</v>
      </c>
      <c r="J182" s="542">
        <v>17757</v>
      </c>
    </row>
    <row r="183" spans="1:19" ht="15">
      <c r="A183" s="129" t="s">
        <v>209</v>
      </c>
      <c r="B183" s="164">
        <v>35624</v>
      </c>
      <c r="C183" s="164">
        <v>37325</v>
      </c>
      <c r="D183" s="164">
        <v>40138</v>
      </c>
      <c r="E183" s="164">
        <v>41941</v>
      </c>
      <c r="F183" s="164">
        <v>46713</v>
      </c>
      <c r="G183" s="333">
        <v>64804</v>
      </c>
      <c r="H183" s="333">
        <v>59530</v>
      </c>
      <c r="I183" s="483" t="s">
        <v>564</v>
      </c>
      <c r="J183" s="542">
        <v>59672</v>
      </c>
    </row>
    <row r="184" spans="1:19" ht="15">
      <c r="A184" s="66" t="s">
        <v>469</v>
      </c>
      <c r="B184" s="67"/>
      <c r="C184" s="67"/>
      <c r="D184" s="67"/>
      <c r="E184" s="67"/>
      <c r="F184" s="67"/>
      <c r="G184" s="398"/>
      <c r="H184" s="398"/>
      <c r="I184" s="398"/>
      <c r="J184" s="398"/>
    </row>
    <row r="185" spans="1:19" ht="14.1" customHeight="1">
      <c r="A185" s="27" t="s">
        <v>505</v>
      </c>
      <c r="B185" s="275">
        <v>18099</v>
      </c>
      <c r="C185" s="275">
        <v>14873</v>
      </c>
      <c r="D185" s="275">
        <v>18156</v>
      </c>
      <c r="E185" s="275">
        <v>29237</v>
      </c>
      <c r="F185" s="23">
        <v>33849</v>
      </c>
      <c r="G185" s="184">
        <v>19494</v>
      </c>
      <c r="H185" s="184">
        <v>2155</v>
      </c>
      <c r="I185" s="184">
        <v>2952</v>
      </c>
      <c r="J185" s="542">
        <v>0</v>
      </c>
    </row>
    <row r="186" spans="1:19" ht="15">
      <c r="A186" s="27" t="s">
        <v>499</v>
      </c>
      <c r="B186" s="275">
        <v>58241</v>
      </c>
      <c r="C186" s="275">
        <v>67832</v>
      </c>
      <c r="D186" s="275">
        <v>61142</v>
      </c>
      <c r="E186" s="275">
        <v>55304</v>
      </c>
      <c r="F186" s="23">
        <v>60603</v>
      </c>
      <c r="G186" s="184">
        <v>38829</v>
      </c>
      <c r="H186" s="184">
        <v>14523</v>
      </c>
      <c r="I186" s="482" t="s">
        <v>565</v>
      </c>
      <c r="J186" s="542">
        <v>2767</v>
      </c>
    </row>
    <row r="187" spans="1:19" ht="15">
      <c r="A187" s="27" t="s">
        <v>495</v>
      </c>
      <c r="B187" s="275">
        <v>54276</v>
      </c>
      <c r="C187" s="275">
        <v>43189</v>
      </c>
      <c r="D187" s="275">
        <v>41820</v>
      </c>
      <c r="E187" s="275">
        <v>33802</v>
      </c>
      <c r="F187" s="23">
        <v>22506</v>
      </c>
      <c r="G187" s="184">
        <v>33769</v>
      </c>
      <c r="H187" s="184">
        <v>18352</v>
      </c>
      <c r="I187" s="482" t="s">
        <v>566</v>
      </c>
      <c r="J187" s="542">
        <v>2237</v>
      </c>
    </row>
    <row r="188" spans="1:19" ht="15">
      <c r="A188" s="27" t="s">
        <v>567</v>
      </c>
      <c r="B188" s="132">
        <v>98154</v>
      </c>
      <c r="C188" s="132">
        <v>99959</v>
      </c>
      <c r="D188" s="132">
        <v>103393</v>
      </c>
      <c r="E188" s="275">
        <v>91978</v>
      </c>
      <c r="F188" s="23">
        <v>92107</v>
      </c>
      <c r="G188" s="184">
        <v>68748</v>
      </c>
      <c r="H188" s="184">
        <v>41391</v>
      </c>
      <c r="I188" s="482" t="s">
        <v>568</v>
      </c>
      <c r="J188" s="542">
        <v>6048</v>
      </c>
      <c r="K188" s="347"/>
    </row>
    <row r="189" spans="1:19" ht="15">
      <c r="A189" s="27" t="s">
        <v>209</v>
      </c>
      <c r="B189" s="220">
        <v>228770</v>
      </c>
      <c r="C189" s="220">
        <v>225853</v>
      </c>
      <c r="D189" s="220">
        <v>224511</v>
      </c>
      <c r="E189" s="164">
        <v>210321</v>
      </c>
      <c r="F189" s="333">
        <v>209065</v>
      </c>
      <c r="G189" s="399">
        <v>160840</v>
      </c>
      <c r="H189" s="399">
        <v>76420</v>
      </c>
      <c r="I189" s="483" t="s">
        <v>569</v>
      </c>
      <c r="J189" s="550" t="s">
        <v>570</v>
      </c>
      <c r="K189" s="346"/>
    </row>
    <row r="190" spans="1:19" s="7" customFormat="1" ht="15">
      <c r="A190" s="128" t="s">
        <v>456</v>
      </c>
      <c r="B190" s="130"/>
      <c r="C190" s="130"/>
      <c r="D190" s="130"/>
      <c r="E190" s="130"/>
      <c r="F190" s="130"/>
      <c r="G190" s="130"/>
      <c r="H190" s="400"/>
      <c r="I190" s="130"/>
      <c r="J190" s="400"/>
      <c r="K190" s="262"/>
      <c r="L190" s="1"/>
      <c r="M190" s="1"/>
      <c r="N190" s="1"/>
    </row>
    <row r="191" spans="1:19" s="7" customFormat="1" ht="15">
      <c r="A191" s="131" t="s">
        <v>571</v>
      </c>
      <c r="B191" s="54">
        <v>1738</v>
      </c>
      <c r="C191" s="54">
        <v>1973</v>
      </c>
      <c r="D191" s="54">
        <v>2031</v>
      </c>
      <c r="E191" s="54">
        <v>2245</v>
      </c>
      <c r="F191" s="54">
        <v>1951</v>
      </c>
      <c r="G191" s="23">
        <v>2322</v>
      </c>
      <c r="H191" s="184">
        <v>1810</v>
      </c>
      <c r="I191" s="184">
        <v>1999</v>
      </c>
      <c r="J191" s="542">
        <v>5228.8775036779998</v>
      </c>
      <c r="K191" s="419"/>
      <c r="L191" s="1"/>
      <c r="M191" s="1"/>
      <c r="N191" s="1"/>
    </row>
    <row r="192" spans="1:19" s="7" customFormat="1" ht="15">
      <c r="A192" s="131" t="s">
        <v>572</v>
      </c>
      <c r="B192" s="54">
        <v>63787</v>
      </c>
      <c r="C192" s="54">
        <v>71510</v>
      </c>
      <c r="D192" s="54">
        <v>67753</v>
      </c>
      <c r="E192" s="54">
        <v>70403</v>
      </c>
      <c r="F192" s="54">
        <v>64979</v>
      </c>
      <c r="G192" s="23">
        <v>91862</v>
      </c>
      <c r="H192" s="184">
        <v>78184</v>
      </c>
      <c r="I192" s="184">
        <v>85146</v>
      </c>
      <c r="J192" s="542">
        <v>67158.590934184991</v>
      </c>
      <c r="K192" s="318"/>
      <c r="L192" s="1"/>
      <c r="M192" s="1"/>
      <c r="N192" s="1"/>
      <c r="O192" s="25"/>
      <c r="P192" s="25"/>
      <c r="Q192" s="25"/>
      <c r="R192" s="25"/>
      <c r="S192" s="25"/>
    </row>
    <row r="193" spans="1:14" s="7" customFormat="1" ht="15">
      <c r="A193" s="131" t="s">
        <v>573</v>
      </c>
      <c r="B193" s="54">
        <v>11163</v>
      </c>
      <c r="C193" s="54">
        <v>12151</v>
      </c>
      <c r="D193" s="54">
        <v>13140</v>
      </c>
      <c r="E193" s="54">
        <v>14128</v>
      </c>
      <c r="F193" s="54">
        <v>15117</v>
      </c>
      <c r="G193" s="23">
        <v>15289</v>
      </c>
      <c r="H193" s="184">
        <v>13025</v>
      </c>
      <c r="I193" s="184">
        <v>15062</v>
      </c>
      <c r="J193" s="542">
        <v>13391.773223973412</v>
      </c>
      <c r="K193" s="272"/>
      <c r="L193" s="1"/>
      <c r="M193" s="1"/>
      <c r="N193" s="1"/>
    </row>
    <row r="194" spans="1:14" s="7" customFormat="1" ht="15">
      <c r="A194" s="131" t="s">
        <v>574</v>
      </c>
      <c r="B194" s="54">
        <v>375270</v>
      </c>
      <c r="C194" s="54">
        <v>393776</v>
      </c>
      <c r="D194" s="54">
        <v>404768</v>
      </c>
      <c r="E194" s="54">
        <v>417717</v>
      </c>
      <c r="F194" s="54">
        <v>439028</v>
      </c>
      <c r="G194" s="23">
        <v>452856</v>
      </c>
      <c r="H194" s="184">
        <v>418080</v>
      </c>
      <c r="I194" s="184">
        <v>618851</v>
      </c>
      <c r="J194" s="542">
        <v>442766.60006700002</v>
      </c>
      <c r="K194" s="272"/>
      <c r="L194" s="1"/>
      <c r="M194" s="1"/>
      <c r="N194" s="1"/>
    </row>
    <row r="195" spans="1:14" s="7" customFormat="1" ht="15">
      <c r="A195" s="131" t="s">
        <v>575</v>
      </c>
      <c r="B195" s="54">
        <v>1064313</v>
      </c>
      <c r="C195" s="54">
        <v>880326</v>
      </c>
      <c r="D195" s="54">
        <v>1146359</v>
      </c>
      <c r="E195" s="54">
        <v>1104695</v>
      </c>
      <c r="F195" s="54">
        <v>1192920</v>
      </c>
      <c r="G195" s="23">
        <v>1304489</v>
      </c>
      <c r="H195" s="184">
        <v>544099</v>
      </c>
      <c r="I195" s="184">
        <v>644305</v>
      </c>
      <c r="J195" s="542">
        <v>624266.55840151198</v>
      </c>
      <c r="K195" s="272"/>
      <c r="L195" s="1"/>
      <c r="M195" s="1"/>
      <c r="N195" s="1"/>
    </row>
    <row r="196" spans="1:14" s="7" customFormat="1" ht="15">
      <c r="A196" s="131" t="s">
        <v>576</v>
      </c>
      <c r="B196" s="54">
        <v>539198</v>
      </c>
      <c r="C196" s="54">
        <v>560225</v>
      </c>
      <c r="D196" s="54">
        <v>582072</v>
      </c>
      <c r="E196" s="54">
        <v>604771</v>
      </c>
      <c r="F196" s="54">
        <v>628355</v>
      </c>
      <c r="G196" s="23">
        <v>652859</v>
      </c>
      <c r="H196" s="184">
        <v>954955</v>
      </c>
      <c r="I196" s="184">
        <v>683365</v>
      </c>
      <c r="J196" s="542">
        <v>626078.25380227971</v>
      </c>
      <c r="K196" s="272"/>
      <c r="L196" s="1"/>
      <c r="M196" s="1"/>
      <c r="N196" s="1"/>
    </row>
    <row r="197" spans="1:14" s="7" customFormat="1" ht="15">
      <c r="A197" s="131" t="s">
        <v>577</v>
      </c>
      <c r="B197" s="54">
        <v>112355</v>
      </c>
      <c r="C197" s="54">
        <v>110523</v>
      </c>
      <c r="D197" s="54">
        <v>81913</v>
      </c>
      <c r="E197" s="54">
        <v>75645</v>
      </c>
      <c r="F197" s="54">
        <v>89464</v>
      </c>
      <c r="G197" s="23">
        <v>81340</v>
      </c>
      <c r="H197" s="184">
        <v>3395</v>
      </c>
      <c r="I197" s="23">
        <v>13297</v>
      </c>
      <c r="J197" s="542">
        <v>38886.53621584348</v>
      </c>
      <c r="K197" s="272"/>
      <c r="L197" s="1"/>
      <c r="M197" s="1"/>
      <c r="N197" s="1"/>
    </row>
    <row r="198" spans="1:14" s="7" customFormat="1" ht="15">
      <c r="A198" s="131" t="s">
        <v>578</v>
      </c>
      <c r="B198" s="54">
        <v>98546</v>
      </c>
      <c r="C198" s="54">
        <v>106755</v>
      </c>
      <c r="D198" s="54">
        <v>114964</v>
      </c>
      <c r="E198" s="54">
        <v>123173</v>
      </c>
      <c r="F198" s="54">
        <v>131382</v>
      </c>
      <c r="G198" s="23">
        <v>107314</v>
      </c>
      <c r="H198" s="184">
        <v>85746</v>
      </c>
      <c r="I198" s="184">
        <v>98473</v>
      </c>
      <c r="J198" s="542">
        <v>120864.21109787101</v>
      </c>
      <c r="K198" s="272"/>
      <c r="L198" s="1"/>
      <c r="M198" s="1"/>
      <c r="N198" s="1"/>
    </row>
    <row r="199" spans="1:14" s="7" customFormat="1" ht="15">
      <c r="A199" s="131" t="s">
        <v>579</v>
      </c>
      <c r="B199" s="54">
        <v>722333</v>
      </c>
      <c r="C199" s="54">
        <v>723829</v>
      </c>
      <c r="D199" s="54">
        <v>620552</v>
      </c>
      <c r="E199" s="54">
        <v>653580</v>
      </c>
      <c r="F199" s="54">
        <v>669971</v>
      </c>
      <c r="G199" s="23">
        <v>642926</v>
      </c>
      <c r="H199" s="184">
        <v>568895</v>
      </c>
      <c r="I199" s="184">
        <v>685694</v>
      </c>
      <c r="J199" s="542">
        <v>547985.96193357091</v>
      </c>
      <c r="K199" s="272"/>
      <c r="L199" s="1"/>
      <c r="M199" s="1"/>
      <c r="N199" s="1"/>
    </row>
    <row r="200" spans="1:14" s="7" customFormat="1" ht="15">
      <c r="A200" s="131" t="s">
        <v>580</v>
      </c>
      <c r="B200" s="38">
        <v>44</v>
      </c>
      <c r="C200" s="38">
        <v>43</v>
      </c>
      <c r="D200" s="38">
        <v>42</v>
      </c>
      <c r="E200" s="38">
        <v>41</v>
      </c>
      <c r="F200" s="38">
        <v>40</v>
      </c>
      <c r="G200" s="23">
        <v>42</v>
      </c>
      <c r="H200" s="184">
        <v>20</v>
      </c>
      <c r="I200" s="184">
        <v>26</v>
      </c>
      <c r="J200" s="542">
        <v>0</v>
      </c>
      <c r="K200" s="272"/>
      <c r="L200" s="1"/>
      <c r="M200" s="1"/>
      <c r="N200" s="1"/>
    </row>
    <row r="201" spans="1:14" s="7" customFormat="1" ht="15">
      <c r="A201" s="131" t="s">
        <v>581</v>
      </c>
      <c r="B201" s="54">
        <v>1007402</v>
      </c>
      <c r="C201" s="54">
        <v>1018623</v>
      </c>
      <c r="D201" s="54">
        <v>1086039</v>
      </c>
      <c r="E201" s="54">
        <v>1182089</v>
      </c>
      <c r="F201" s="54">
        <v>1176709</v>
      </c>
      <c r="G201" s="23">
        <v>1415163</v>
      </c>
      <c r="H201" s="184">
        <v>1444915</v>
      </c>
      <c r="I201" s="184">
        <v>1504501</v>
      </c>
      <c r="J201" s="542">
        <v>1476616.5458384594</v>
      </c>
      <c r="K201" s="272"/>
      <c r="L201" s="1"/>
      <c r="M201" s="1"/>
      <c r="N201" s="1"/>
    </row>
    <row r="202" spans="1:14" s="7" customFormat="1" ht="15">
      <c r="A202" s="131" t="s">
        <v>582</v>
      </c>
      <c r="B202" s="54">
        <v>114074</v>
      </c>
      <c r="C202" s="54">
        <v>114310</v>
      </c>
      <c r="D202" s="54">
        <v>98000</v>
      </c>
      <c r="E202" s="54">
        <v>103216</v>
      </c>
      <c r="F202" s="54">
        <v>105805</v>
      </c>
      <c r="G202" s="23">
        <v>97785</v>
      </c>
      <c r="H202" s="184">
        <v>89842</v>
      </c>
      <c r="I202" s="184">
        <v>113286</v>
      </c>
      <c r="J202" s="542">
        <v>36583.309734533999</v>
      </c>
      <c r="K202" s="272"/>
      <c r="L202" s="1"/>
      <c r="M202" s="1"/>
      <c r="N202" s="1"/>
    </row>
    <row r="203" spans="1:14" s="7" customFormat="1" ht="15">
      <c r="A203" s="131" t="s">
        <v>583</v>
      </c>
      <c r="B203" s="54">
        <v>175719</v>
      </c>
      <c r="C203" s="54">
        <v>181408</v>
      </c>
      <c r="D203" s="54">
        <v>193409</v>
      </c>
      <c r="E203" s="54">
        <v>204659</v>
      </c>
      <c r="F203" s="54">
        <v>215796</v>
      </c>
      <c r="G203" s="23">
        <v>200266</v>
      </c>
      <c r="H203" s="184">
        <v>170779</v>
      </c>
      <c r="I203" s="184">
        <v>177402</v>
      </c>
      <c r="J203" s="542">
        <v>176804.67633183073</v>
      </c>
      <c r="K203" s="272"/>
      <c r="L203" s="1"/>
      <c r="M203" s="1"/>
      <c r="N203" s="1"/>
    </row>
    <row r="204" spans="1:14" s="7" customFormat="1" ht="15">
      <c r="A204" s="131" t="s">
        <v>584</v>
      </c>
      <c r="B204" s="54">
        <v>589308</v>
      </c>
      <c r="C204" s="54">
        <v>712818</v>
      </c>
      <c r="D204" s="54">
        <v>809594</v>
      </c>
      <c r="E204" s="54">
        <v>839357</v>
      </c>
      <c r="F204" s="54">
        <v>873069</v>
      </c>
      <c r="G204" s="23">
        <v>1008183</v>
      </c>
      <c r="H204" s="184">
        <v>963898</v>
      </c>
      <c r="I204" s="184">
        <v>1030009</v>
      </c>
      <c r="J204" s="542">
        <v>854830.14752120513</v>
      </c>
      <c r="K204" s="272"/>
      <c r="L204" s="1"/>
      <c r="M204" s="1"/>
      <c r="N204" s="1"/>
    </row>
    <row r="205" spans="1:14" s="7" customFormat="1" ht="15">
      <c r="A205" s="131" t="s">
        <v>585</v>
      </c>
      <c r="B205" s="54">
        <v>216662</v>
      </c>
      <c r="C205" s="54">
        <v>220386</v>
      </c>
      <c r="D205" s="54">
        <v>208238</v>
      </c>
      <c r="E205" s="54">
        <v>190208</v>
      </c>
      <c r="F205" s="54">
        <v>201344</v>
      </c>
      <c r="G205" s="23">
        <v>282439</v>
      </c>
      <c r="H205" s="184">
        <v>328634</v>
      </c>
      <c r="I205" s="184">
        <v>338264</v>
      </c>
      <c r="J205" s="542">
        <v>428012.56998274702</v>
      </c>
      <c r="K205" s="272"/>
      <c r="L205" s="1"/>
      <c r="M205" s="1"/>
      <c r="N205" s="1"/>
    </row>
    <row r="206" spans="1:14" s="7" customFormat="1" ht="15">
      <c r="A206" s="131" t="s">
        <v>586</v>
      </c>
      <c r="B206" s="54">
        <v>1097424</v>
      </c>
      <c r="C206" s="54">
        <v>1132893</v>
      </c>
      <c r="D206" s="54">
        <v>1207583</v>
      </c>
      <c r="E206" s="54">
        <v>1277571</v>
      </c>
      <c r="F206" s="54">
        <v>1346980</v>
      </c>
      <c r="G206" s="23">
        <v>1267251</v>
      </c>
      <c r="H206" s="184">
        <v>1179185</v>
      </c>
      <c r="I206" s="184">
        <v>558004</v>
      </c>
      <c r="J206" s="542">
        <v>658555.72284389695</v>
      </c>
      <c r="K206" s="272"/>
      <c r="L206" s="1"/>
      <c r="M206" s="1"/>
      <c r="N206" s="1"/>
    </row>
    <row r="207" spans="1:14" s="7" customFormat="1" ht="15">
      <c r="A207" s="131" t="s">
        <v>587</v>
      </c>
      <c r="B207" s="54">
        <v>357005</v>
      </c>
      <c r="C207" s="54">
        <v>378591</v>
      </c>
      <c r="D207" s="54">
        <v>389155</v>
      </c>
      <c r="E207" s="54">
        <v>396536</v>
      </c>
      <c r="F207" s="54">
        <v>416934</v>
      </c>
      <c r="G207" s="23">
        <v>458388</v>
      </c>
      <c r="H207" s="184">
        <v>430053</v>
      </c>
      <c r="I207" s="184">
        <v>523463</v>
      </c>
      <c r="J207" s="542">
        <v>556466.84783720807</v>
      </c>
      <c r="K207" s="272"/>
      <c r="L207" s="1"/>
      <c r="M207" s="1"/>
      <c r="N207" s="1"/>
    </row>
    <row r="208" spans="1:14" s="7" customFormat="1" ht="15">
      <c r="A208" s="131" t="s">
        <v>588</v>
      </c>
      <c r="B208" s="54">
        <v>764803</v>
      </c>
      <c r="C208" s="54">
        <v>789522</v>
      </c>
      <c r="D208" s="54">
        <v>841574</v>
      </c>
      <c r="E208" s="54">
        <v>890349</v>
      </c>
      <c r="F208" s="54">
        <v>938721</v>
      </c>
      <c r="G208" s="23">
        <v>893826</v>
      </c>
      <c r="H208" s="184">
        <v>778623</v>
      </c>
      <c r="I208" s="184">
        <v>682022</v>
      </c>
      <c r="J208" s="542">
        <v>592076.11054200807</v>
      </c>
      <c r="K208" s="272"/>
      <c r="L208" s="1"/>
      <c r="M208" s="1"/>
      <c r="N208" s="1"/>
    </row>
    <row r="209" spans="1:22" s="7" customFormat="1" ht="15">
      <c r="A209" s="131" t="s">
        <v>589</v>
      </c>
      <c r="B209" s="54">
        <v>1908139</v>
      </c>
      <c r="C209" s="54">
        <v>2023515</v>
      </c>
      <c r="D209" s="54">
        <v>2079979</v>
      </c>
      <c r="E209" s="54">
        <v>2119428</v>
      </c>
      <c r="F209" s="54">
        <v>2228453</v>
      </c>
      <c r="G209" s="23">
        <v>2629520</v>
      </c>
      <c r="H209" s="184">
        <v>2773094</v>
      </c>
      <c r="I209" s="184">
        <v>2163316</v>
      </c>
      <c r="J209" s="542">
        <v>2197116.8091614358</v>
      </c>
      <c r="K209" s="272"/>
      <c r="L209" s="1"/>
      <c r="M209" s="1"/>
      <c r="N209" s="1"/>
    </row>
    <row r="210" spans="1:22" s="7" customFormat="1" ht="15">
      <c r="A210" s="131" t="s">
        <v>590</v>
      </c>
      <c r="B210" s="54">
        <v>0</v>
      </c>
      <c r="C210" s="54">
        <v>0</v>
      </c>
      <c r="D210" s="54">
        <v>0</v>
      </c>
      <c r="E210" s="54">
        <v>0</v>
      </c>
      <c r="F210" s="54">
        <v>0</v>
      </c>
      <c r="G210" s="23">
        <v>0</v>
      </c>
      <c r="H210" s="184">
        <v>0</v>
      </c>
      <c r="I210" s="184">
        <v>16590</v>
      </c>
      <c r="J210" s="542">
        <v>2673.3297401607001</v>
      </c>
      <c r="K210" s="272"/>
      <c r="L210" s="1"/>
      <c r="M210" s="1"/>
      <c r="N210" s="1"/>
    </row>
    <row r="211" spans="1:22" s="7" customFormat="1" ht="15">
      <c r="A211" s="131" t="s">
        <v>591</v>
      </c>
      <c r="B211" s="54">
        <v>0</v>
      </c>
      <c r="C211" s="54">
        <v>0</v>
      </c>
      <c r="D211" s="54">
        <v>0</v>
      </c>
      <c r="E211" s="54">
        <v>0</v>
      </c>
      <c r="F211" s="54">
        <v>0</v>
      </c>
      <c r="G211" s="23">
        <v>0</v>
      </c>
      <c r="H211" s="184">
        <v>0</v>
      </c>
      <c r="I211" s="184">
        <v>417</v>
      </c>
      <c r="J211" s="542">
        <v>157.04561574879997</v>
      </c>
      <c r="K211" s="272"/>
      <c r="L211" s="1"/>
      <c r="M211" s="1"/>
      <c r="N211" s="1"/>
    </row>
    <row r="212" spans="1:22" s="7" customFormat="1" ht="15">
      <c r="A212" s="131" t="s">
        <v>209</v>
      </c>
      <c r="B212" s="53">
        <v>9219282</v>
      </c>
      <c r="C212" s="53">
        <v>9433177</v>
      </c>
      <c r="D212" s="53">
        <v>9947164</v>
      </c>
      <c r="E212" s="53">
        <v>10269811</v>
      </c>
      <c r="F212" s="53">
        <v>10737016</v>
      </c>
      <c r="G212" s="333">
        <v>11604118</v>
      </c>
      <c r="H212" s="399">
        <v>10827234</v>
      </c>
      <c r="I212" s="399">
        <v>9953491</v>
      </c>
      <c r="J212" s="542">
        <v>9466520.4783291481</v>
      </c>
      <c r="K212" s="272"/>
      <c r="L212" s="1"/>
      <c r="M212" s="1"/>
      <c r="N212" s="1"/>
    </row>
    <row r="213" spans="1:22"/>
    <row r="214" spans="1:22" ht="42" customHeight="1">
      <c r="A214" s="652" t="s">
        <v>592</v>
      </c>
      <c r="B214" s="652"/>
      <c r="C214" s="652"/>
      <c r="D214" s="652"/>
      <c r="E214" s="652"/>
      <c r="F214" s="652"/>
      <c r="G214" s="652"/>
      <c r="I214" s="346"/>
      <c r="L214" s="243"/>
      <c r="R214"/>
      <c r="S214"/>
      <c r="T214"/>
      <c r="U214"/>
      <c r="V214"/>
    </row>
    <row r="215" spans="1:22" ht="42.75" customHeight="1">
      <c r="A215" s="652" t="s">
        <v>593</v>
      </c>
      <c r="B215" s="652"/>
      <c r="C215" s="652"/>
      <c r="D215" s="652"/>
      <c r="E215" s="652"/>
      <c r="F215" s="652"/>
      <c r="G215" s="652"/>
      <c r="I215" s="346"/>
      <c r="L215" s="243"/>
      <c r="R215"/>
      <c r="S215"/>
      <c r="T215"/>
      <c r="U215"/>
      <c r="V215"/>
    </row>
    <row r="216" spans="1:22" ht="44.25" customHeight="1">
      <c r="A216" s="652" t="s">
        <v>594</v>
      </c>
      <c r="B216" s="652"/>
      <c r="C216" s="652"/>
      <c r="D216" s="652"/>
      <c r="E216" s="652"/>
      <c r="F216" s="652"/>
      <c r="G216" s="652"/>
      <c r="I216" s="346"/>
      <c r="L216" s="243"/>
      <c r="R216"/>
      <c r="S216"/>
      <c r="T216"/>
      <c r="U216"/>
      <c r="V216"/>
    </row>
    <row r="217" spans="1:22" ht="56.25" customHeight="1">
      <c r="A217" s="652" t="s">
        <v>595</v>
      </c>
      <c r="B217" s="652"/>
      <c r="C217" s="652"/>
      <c r="D217" s="652"/>
      <c r="E217" s="652"/>
      <c r="F217" s="652"/>
      <c r="G217" s="652"/>
      <c r="I217" s="346"/>
      <c r="L217" s="243"/>
      <c r="R217"/>
      <c r="S217"/>
      <c r="T217"/>
      <c r="U217"/>
      <c r="V217"/>
    </row>
    <row r="218" spans="1:22" ht="55.5" customHeight="1">
      <c r="A218" s="652" t="s">
        <v>596</v>
      </c>
      <c r="B218" s="652"/>
      <c r="C218" s="652"/>
      <c r="D218" s="652"/>
      <c r="E218" s="652"/>
      <c r="F218" s="652"/>
      <c r="G218" s="652"/>
      <c r="I218" s="346"/>
      <c r="L218" s="243"/>
      <c r="R218"/>
      <c r="S218"/>
      <c r="T218"/>
      <c r="U218"/>
      <c r="V218"/>
    </row>
    <row r="219" spans="1:22" ht="56.25" customHeight="1">
      <c r="A219" s="652" t="s">
        <v>597</v>
      </c>
      <c r="B219" s="652"/>
      <c r="C219" s="652"/>
      <c r="D219" s="652"/>
      <c r="E219" s="652"/>
      <c r="F219" s="652"/>
      <c r="G219" s="652"/>
      <c r="I219" s="346"/>
      <c r="L219" s="243"/>
      <c r="R219"/>
      <c r="S219"/>
      <c r="T219"/>
      <c r="U219"/>
      <c r="V219"/>
    </row>
    <row r="220" spans="1:22" ht="56.25" customHeight="1">
      <c r="A220" s="652" t="s">
        <v>598</v>
      </c>
      <c r="B220" s="652"/>
      <c r="C220" s="652"/>
      <c r="D220" s="652"/>
      <c r="E220" s="652"/>
      <c r="F220" s="652"/>
      <c r="G220" s="652"/>
      <c r="I220" s="346"/>
      <c r="L220" s="243"/>
      <c r="R220"/>
      <c r="S220"/>
      <c r="T220"/>
      <c r="U220"/>
      <c r="V220"/>
    </row>
    <row r="221" spans="1:22" ht="35.25" customHeight="1">
      <c r="A221" s="652" t="s">
        <v>599</v>
      </c>
      <c r="B221" s="652"/>
      <c r="C221" s="652"/>
      <c r="D221" s="652"/>
      <c r="E221" s="652"/>
      <c r="F221" s="652"/>
      <c r="G221" s="652"/>
      <c r="I221" s="346"/>
      <c r="L221" s="243"/>
      <c r="R221"/>
      <c r="S221"/>
      <c r="T221"/>
      <c r="U221"/>
      <c r="V221"/>
    </row>
    <row r="222" spans="1:22"/>
    <row r="223" spans="1:22"/>
    <row r="224" spans="1:22" ht="17.25" customHeight="1">
      <c r="A224" s="728" t="s">
        <v>600</v>
      </c>
      <c r="B224" s="729"/>
      <c r="C224" s="729"/>
      <c r="D224" s="729"/>
      <c r="E224" s="729"/>
    </row>
    <row r="225" spans="1:9">
      <c r="A225" s="560" t="s">
        <v>601</v>
      </c>
      <c r="B225" s="605"/>
      <c r="C225" s="605"/>
      <c r="D225" s="605"/>
      <c r="E225" s="1"/>
    </row>
    <row r="226" spans="1:9">
      <c r="A226" s="561" t="s">
        <v>602</v>
      </c>
      <c r="B226" s="605"/>
      <c r="C226" s="605"/>
      <c r="D226" s="605"/>
      <c r="E226" s="1"/>
    </row>
    <row r="227" spans="1:9" ht="114" customHeight="1">
      <c r="A227" s="562" t="s">
        <v>603</v>
      </c>
      <c r="B227" s="563" t="s">
        <v>604</v>
      </c>
      <c r="C227" s="563" t="s">
        <v>605</v>
      </c>
      <c r="D227" s="563" t="s">
        <v>606</v>
      </c>
      <c r="E227" s="563" t="s">
        <v>607</v>
      </c>
      <c r="F227" s="272"/>
      <c r="G227" s="155"/>
      <c r="H227" s="155"/>
      <c r="I227" s="155"/>
    </row>
    <row r="228" spans="1:9" ht="18" customHeight="1">
      <c r="A228" s="568" t="s">
        <v>608</v>
      </c>
      <c r="B228" s="569"/>
      <c r="C228" s="569"/>
      <c r="D228" s="569"/>
      <c r="E228" s="570"/>
      <c r="F228" s="272"/>
      <c r="G228" s="303"/>
      <c r="H228" s="93"/>
      <c r="I228" s="93"/>
    </row>
    <row r="229" spans="1:9" ht="70.349999999999994" customHeight="1">
      <c r="A229" s="564" t="s">
        <v>609</v>
      </c>
      <c r="B229" s="565">
        <v>8093308</v>
      </c>
      <c r="C229" s="632" t="s">
        <v>610</v>
      </c>
      <c r="D229" s="566" t="s">
        <v>611</v>
      </c>
      <c r="E229" s="567">
        <v>0.3</v>
      </c>
    </row>
    <row r="230" spans="1:9" ht="69.75" customHeight="1">
      <c r="A230" s="31" t="s">
        <v>612</v>
      </c>
      <c r="B230" s="70" t="s">
        <v>613</v>
      </c>
      <c r="C230" s="70" t="s">
        <v>614</v>
      </c>
      <c r="D230" s="70" t="s">
        <v>613</v>
      </c>
      <c r="E230" s="70" t="s">
        <v>613</v>
      </c>
    </row>
    <row r="231" spans="1:9" ht="88.35" customHeight="1">
      <c r="A231" s="30" t="s">
        <v>615</v>
      </c>
      <c r="B231" s="348">
        <v>13391.773223973412</v>
      </c>
      <c r="C231" s="70" t="s">
        <v>616</v>
      </c>
      <c r="D231" s="70" t="s">
        <v>617</v>
      </c>
      <c r="E231" s="377">
        <v>0.54</v>
      </c>
    </row>
    <row r="232" spans="1:9" ht="112.5" customHeight="1">
      <c r="A232" s="30" t="s">
        <v>618</v>
      </c>
      <c r="B232" s="348">
        <v>624267</v>
      </c>
      <c r="C232" s="70" t="s">
        <v>619</v>
      </c>
      <c r="D232" s="70" t="s">
        <v>620</v>
      </c>
      <c r="E232" s="377">
        <v>1</v>
      </c>
    </row>
    <row r="233" spans="1:9" ht="67.5" customHeight="1">
      <c r="A233" s="30" t="s">
        <v>621</v>
      </c>
      <c r="B233" s="348">
        <v>5228.8775036779998</v>
      </c>
      <c r="C233" s="70" t="s">
        <v>622</v>
      </c>
      <c r="D233" s="70" t="s">
        <v>623</v>
      </c>
      <c r="E233" s="350">
        <v>1</v>
      </c>
    </row>
    <row r="234" spans="1:9" ht="82.5" customHeight="1">
      <c r="A234" s="32" t="s">
        <v>624</v>
      </c>
      <c r="B234" s="348">
        <v>38886.53621584348</v>
      </c>
      <c r="C234" s="70" t="s">
        <v>625</v>
      </c>
      <c r="D234" s="70" t="s">
        <v>626</v>
      </c>
      <c r="E234" s="350">
        <v>1</v>
      </c>
    </row>
    <row r="235" spans="1:9" ht="106.5" customHeight="1">
      <c r="A235" s="30" t="s">
        <v>627</v>
      </c>
      <c r="B235" s="349">
        <v>120864.21109787101</v>
      </c>
      <c r="C235" s="70" t="s">
        <v>628</v>
      </c>
      <c r="D235" s="70" t="s">
        <v>629</v>
      </c>
      <c r="E235" s="350">
        <v>0.01</v>
      </c>
    </row>
    <row r="236" spans="1:9" ht="72">
      <c r="A236" s="31" t="s">
        <v>630</v>
      </c>
      <c r="B236" s="349" t="s">
        <v>631</v>
      </c>
      <c r="C236" s="70" t="s">
        <v>632</v>
      </c>
      <c r="D236" s="350" t="s">
        <v>613</v>
      </c>
      <c r="E236" s="350" t="s">
        <v>613</v>
      </c>
    </row>
    <row r="237" spans="1:9" ht="16.5" customHeight="1">
      <c r="A237" s="156" t="s">
        <v>633</v>
      </c>
      <c r="B237" s="401"/>
      <c r="C237" s="401"/>
      <c r="D237" s="401"/>
      <c r="E237" s="402"/>
      <c r="G237" s="93"/>
      <c r="H237" s="93"/>
      <c r="I237" s="93"/>
    </row>
    <row r="238" spans="1:9" ht="97.5" customHeight="1">
      <c r="A238" s="33" t="s">
        <v>634</v>
      </c>
      <c r="B238" s="348">
        <v>67158.590934184991</v>
      </c>
      <c r="C238" s="348" t="s">
        <v>635</v>
      </c>
      <c r="D238" s="348" t="s">
        <v>636</v>
      </c>
      <c r="E238" s="378">
        <v>0</v>
      </c>
    </row>
    <row r="239" spans="1:9" ht="72" customHeight="1">
      <c r="A239" s="34" t="s">
        <v>637</v>
      </c>
      <c r="B239" s="348" t="s">
        <v>631</v>
      </c>
      <c r="C239" s="348" t="s">
        <v>638</v>
      </c>
      <c r="D239" s="348" t="s">
        <v>613</v>
      </c>
      <c r="E239" s="348" t="s">
        <v>613</v>
      </c>
    </row>
    <row r="240" spans="1:9" ht="90" customHeight="1">
      <c r="A240" s="31" t="s">
        <v>639</v>
      </c>
      <c r="B240" s="348">
        <v>7079694</v>
      </c>
      <c r="C240" s="70" t="s">
        <v>640</v>
      </c>
      <c r="D240" s="70" t="s">
        <v>641</v>
      </c>
      <c r="E240" s="348" t="s">
        <v>613</v>
      </c>
    </row>
    <row r="241" spans="1:17" ht="83.85" customHeight="1">
      <c r="A241" s="30" t="s">
        <v>642</v>
      </c>
      <c r="B241" s="348">
        <v>503416</v>
      </c>
      <c r="C241" s="70" t="s">
        <v>643</v>
      </c>
      <c r="D241" s="70" t="s">
        <v>644</v>
      </c>
      <c r="E241" s="378">
        <v>0</v>
      </c>
    </row>
    <row r="242" spans="1:17" ht="72">
      <c r="A242" s="31" t="s">
        <v>645</v>
      </c>
      <c r="B242" s="351" t="s">
        <v>631</v>
      </c>
      <c r="C242" s="70" t="s">
        <v>646</v>
      </c>
      <c r="D242" s="351" t="s">
        <v>613</v>
      </c>
      <c r="E242" s="351" t="s">
        <v>613</v>
      </c>
    </row>
    <row r="243" spans="1:17" ht="57.75">
      <c r="A243" s="31" t="s">
        <v>647</v>
      </c>
      <c r="B243" s="348" t="s">
        <v>631</v>
      </c>
      <c r="C243" s="70" t="s">
        <v>648</v>
      </c>
      <c r="D243" s="70" t="s">
        <v>613</v>
      </c>
      <c r="E243" s="351" t="s">
        <v>613</v>
      </c>
    </row>
    <row r="244" spans="1:17" ht="57.75">
      <c r="A244" s="31" t="s">
        <v>649</v>
      </c>
      <c r="B244" s="348" t="s">
        <v>631</v>
      </c>
      <c r="C244" s="70" t="s">
        <v>650</v>
      </c>
      <c r="D244" s="70" t="s">
        <v>613</v>
      </c>
      <c r="E244" s="351" t="s">
        <v>613</v>
      </c>
    </row>
    <row r="245" spans="1:17" ht="21" customHeight="1">
      <c r="A245" s="30" t="s">
        <v>651</v>
      </c>
      <c r="B245" s="403">
        <v>9466520.4783291481</v>
      </c>
      <c r="C245" s="351"/>
      <c r="D245" s="351"/>
      <c r="E245" s="351"/>
    </row>
    <row r="246" spans="1:17" ht="29.25" customHeight="1">
      <c r="A246" s="31" t="s">
        <v>652</v>
      </c>
      <c r="B246" s="403">
        <v>16546214</v>
      </c>
      <c r="C246" s="351"/>
      <c r="D246" s="351"/>
      <c r="E246" s="351"/>
    </row>
    <row r="249" spans="1:17" ht="15">
      <c r="A249" s="732" t="s">
        <v>653</v>
      </c>
      <c r="B249" s="733"/>
      <c r="C249" s="733"/>
      <c r="D249" s="733"/>
      <c r="E249" s="733"/>
      <c r="F249" s="733"/>
      <c r="G249" s="733"/>
      <c r="H249" s="733"/>
      <c r="I249" s="733"/>
      <c r="J249"/>
      <c r="K249"/>
      <c r="L249"/>
      <c r="M249"/>
      <c r="N249"/>
      <c r="O249"/>
      <c r="P249"/>
      <c r="Q249"/>
    </row>
    <row r="250" spans="1:17" customFormat="1" ht="57.75">
      <c r="A250" s="59" t="s">
        <v>654</v>
      </c>
      <c r="B250" s="59" t="s">
        <v>518</v>
      </c>
      <c r="C250" s="59" t="s">
        <v>655</v>
      </c>
      <c r="D250" s="59" t="s">
        <v>532</v>
      </c>
      <c r="E250" s="59" t="s">
        <v>656</v>
      </c>
      <c r="F250" s="59" t="s">
        <v>657</v>
      </c>
      <c r="G250" s="59" t="s">
        <v>533</v>
      </c>
      <c r="H250" s="59" t="s">
        <v>536</v>
      </c>
      <c r="I250" s="59" t="s">
        <v>537</v>
      </c>
      <c r="J250" s="291"/>
    </row>
    <row r="251" spans="1:17" customFormat="1" ht="15">
      <c r="A251" s="616" t="s">
        <v>658</v>
      </c>
      <c r="B251" s="23">
        <v>272</v>
      </c>
      <c r="C251" s="38">
        <v>206</v>
      </c>
      <c r="D251" s="23">
        <v>639</v>
      </c>
      <c r="E251" s="38">
        <v>175</v>
      </c>
      <c r="F251" s="23" t="s">
        <v>498</v>
      </c>
      <c r="G251" s="23" t="s">
        <v>498</v>
      </c>
      <c r="H251" s="23" t="s">
        <v>498</v>
      </c>
      <c r="I251" s="23" t="s">
        <v>498</v>
      </c>
    </row>
    <row r="252" spans="1:17" customFormat="1" ht="15">
      <c r="A252" s="616" t="s">
        <v>659</v>
      </c>
      <c r="B252" s="23">
        <v>1001</v>
      </c>
      <c r="C252" s="38">
        <v>339</v>
      </c>
      <c r="D252" s="23">
        <v>2398</v>
      </c>
      <c r="E252" s="38">
        <v>1634</v>
      </c>
      <c r="F252" s="23">
        <v>1634</v>
      </c>
      <c r="G252" s="38">
        <v>135</v>
      </c>
      <c r="H252" s="23" t="s">
        <v>498</v>
      </c>
      <c r="I252" s="23" t="s">
        <v>498</v>
      </c>
    </row>
    <row r="253" spans="1:17" customFormat="1" ht="15">
      <c r="A253" s="616" t="s">
        <v>660</v>
      </c>
      <c r="B253" s="23">
        <v>115</v>
      </c>
      <c r="C253" s="38">
        <v>48</v>
      </c>
      <c r="D253" s="23">
        <v>748</v>
      </c>
      <c r="E253" s="38">
        <v>90</v>
      </c>
      <c r="F253" s="23" t="s">
        <v>498</v>
      </c>
      <c r="G253" s="23" t="s">
        <v>498</v>
      </c>
      <c r="H253" s="23" t="s">
        <v>498</v>
      </c>
      <c r="I253" s="23" t="s">
        <v>498</v>
      </c>
    </row>
    <row r="254" spans="1:17" customFormat="1" ht="15">
      <c r="A254" s="616" t="s">
        <v>661</v>
      </c>
      <c r="B254" s="23">
        <v>7640</v>
      </c>
      <c r="C254" s="54">
        <v>3989</v>
      </c>
      <c r="D254" s="23">
        <v>40337</v>
      </c>
      <c r="E254" s="38">
        <v>6656</v>
      </c>
      <c r="F254" s="23">
        <v>466</v>
      </c>
      <c r="G254" s="38">
        <v>6059</v>
      </c>
      <c r="H254" s="23">
        <v>4417</v>
      </c>
      <c r="I254" s="23">
        <v>2794</v>
      </c>
      <c r="K254" s="327"/>
    </row>
    <row r="255" spans="1:17" customFormat="1" ht="15">
      <c r="A255" s="616" t="s">
        <v>662</v>
      </c>
      <c r="B255" s="23">
        <v>86</v>
      </c>
      <c r="C255" s="38">
        <v>42</v>
      </c>
      <c r="D255" s="23">
        <v>139</v>
      </c>
      <c r="E255" s="38">
        <v>13</v>
      </c>
      <c r="F255" s="23" t="s">
        <v>498</v>
      </c>
      <c r="G255" s="23" t="s">
        <v>498</v>
      </c>
      <c r="H255" s="23" t="s">
        <v>498</v>
      </c>
      <c r="I255" s="23" t="s">
        <v>498</v>
      </c>
    </row>
    <row r="256" spans="1:17" customFormat="1" ht="15">
      <c r="A256" s="616" t="s">
        <v>663</v>
      </c>
      <c r="B256" s="23">
        <v>10008</v>
      </c>
      <c r="C256" s="54">
        <v>2363</v>
      </c>
      <c r="D256" s="23">
        <v>6799</v>
      </c>
      <c r="E256" s="38">
        <v>817</v>
      </c>
      <c r="F256" s="23" t="s">
        <v>498</v>
      </c>
      <c r="G256" s="23" t="s">
        <v>498</v>
      </c>
      <c r="H256" s="23" t="s">
        <v>498</v>
      </c>
      <c r="I256" s="23" t="s">
        <v>498</v>
      </c>
    </row>
    <row r="257" spans="1:9" customFormat="1" ht="15">
      <c r="A257" s="616" t="s">
        <v>664</v>
      </c>
      <c r="B257" s="23">
        <v>58</v>
      </c>
      <c r="C257" s="38">
        <v>21</v>
      </c>
      <c r="D257" s="23">
        <v>97</v>
      </c>
      <c r="E257" s="38">
        <v>41</v>
      </c>
      <c r="F257" s="23" t="s">
        <v>498</v>
      </c>
      <c r="G257" s="23" t="s">
        <v>498</v>
      </c>
      <c r="H257" s="23" t="s">
        <v>498</v>
      </c>
      <c r="I257" s="23" t="s">
        <v>498</v>
      </c>
    </row>
    <row r="258" spans="1:9" customFormat="1" ht="15">
      <c r="A258" s="616" t="s">
        <v>665</v>
      </c>
      <c r="B258" s="23">
        <v>36940</v>
      </c>
      <c r="C258" s="54">
        <v>10525</v>
      </c>
      <c r="D258" s="23">
        <v>69276</v>
      </c>
      <c r="E258" s="38">
        <v>42785</v>
      </c>
      <c r="F258" s="23" t="s">
        <v>498</v>
      </c>
      <c r="G258" s="38">
        <v>4202</v>
      </c>
      <c r="H258" s="23" t="s">
        <v>498</v>
      </c>
      <c r="I258" s="23" t="s">
        <v>498</v>
      </c>
    </row>
    <row r="259" spans="1:9" customFormat="1" ht="15">
      <c r="A259" s="616" t="s">
        <v>666</v>
      </c>
      <c r="B259" s="23" t="s">
        <v>498</v>
      </c>
      <c r="C259" s="38">
        <v>9</v>
      </c>
      <c r="D259" s="23">
        <v>291</v>
      </c>
      <c r="E259" s="38">
        <v>120</v>
      </c>
      <c r="F259" s="23" t="s">
        <v>498</v>
      </c>
      <c r="G259" s="23" t="s">
        <v>498</v>
      </c>
      <c r="H259" s="23" t="s">
        <v>498</v>
      </c>
      <c r="I259" s="23" t="s">
        <v>498</v>
      </c>
    </row>
    <row r="260" spans="1:9" customFormat="1" ht="15">
      <c r="A260" s="616" t="s">
        <v>667</v>
      </c>
      <c r="B260" s="23" t="s">
        <v>498</v>
      </c>
      <c r="C260" s="38">
        <v>14</v>
      </c>
      <c r="D260" s="23">
        <v>282</v>
      </c>
      <c r="E260" s="38">
        <v>27</v>
      </c>
      <c r="F260" s="23" t="s">
        <v>498</v>
      </c>
      <c r="G260" s="23" t="s">
        <v>498</v>
      </c>
      <c r="H260" s="23" t="s">
        <v>498</v>
      </c>
      <c r="I260" s="23" t="s">
        <v>498</v>
      </c>
    </row>
    <row r="261" spans="1:9" customFormat="1" ht="15">
      <c r="A261" s="616" t="s">
        <v>668</v>
      </c>
      <c r="B261" s="23">
        <v>118</v>
      </c>
      <c r="C261" s="38">
        <v>300</v>
      </c>
      <c r="D261" s="23">
        <v>8683</v>
      </c>
      <c r="E261" s="38">
        <v>446</v>
      </c>
      <c r="F261" s="23" t="s">
        <v>498</v>
      </c>
      <c r="G261" s="23" t="s">
        <v>498</v>
      </c>
      <c r="H261" s="23" t="s">
        <v>498</v>
      </c>
      <c r="I261" s="23" t="s">
        <v>498</v>
      </c>
    </row>
    <row r="262" spans="1:9" customFormat="1" ht="15">
      <c r="A262" s="616" t="s">
        <v>669</v>
      </c>
      <c r="B262" s="23">
        <v>3336</v>
      </c>
      <c r="C262" s="38">
        <v>904</v>
      </c>
      <c r="D262" s="23">
        <v>5723</v>
      </c>
      <c r="E262" s="38">
        <v>1791</v>
      </c>
      <c r="F262" s="23" t="s">
        <v>498</v>
      </c>
      <c r="G262" s="23" t="s">
        <v>498</v>
      </c>
      <c r="H262" s="23" t="s">
        <v>498</v>
      </c>
      <c r="I262" s="23" t="s">
        <v>498</v>
      </c>
    </row>
    <row r="263" spans="1:9" customFormat="1" ht="15">
      <c r="A263" s="616" t="s">
        <v>670</v>
      </c>
      <c r="B263" s="23" t="s">
        <v>498</v>
      </c>
      <c r="C263" s="38">
        <v>19</v>
      </c>
      <c r="D263" s="23">
        <v>667</v>
      </c>
      <c r="E263" s="38">
        <v>249</v>
      </c>
      <c r="F263" s="23" t="s">
        <v>498</v>
      </c>
      <c r="G263" s="23" t="s">
        <v>498</v>
      </c>
      <c r="H263" s="23" t="s">
        <v>498</v>
      </c>
      <c r="I263" s="23" t="s">
        <v>498</v>
      </c>
    </row>
    <row r="264" spans="1:9" customFormat="1" ht="15">
      <c r="A264" s="616" t="s">
        <v>671</v>
      </c>
      <c r="B264" s="23">
        <v>400</v>
      </c>
      <c r="C264" s="38">
        <v>127</v>
      </c>
      <c r="D264" s="23">
        <v>605</v>
      </c>
      <c r="E264" s="38">
        <v>388</v>
      </c>
      <c r="F264" s="23" t="s">
        <v>498</v>
      </c>
      <c r="G264" s="23" t="s">
        <v>498</v>
      </c>
      <c r="H264" s="23" t="s">
        <v>498</v>
      </c>
      <c r="I264" s="23" t="s">
        <v>498</v>
      </c>
    </row>
    <row r="265" spans="1:9" customFormat="1" ht="15">
      <c r="A265" s="616" t="s">
        <v>672</v>
      </c>
      <c r="B265" s="23" t="s">
        <v>498</v>
      </c>
      <c r="C265" s="38">
        <v>10</v>
      </c>
      <c r="D265" s="23">
        <v>380</v>
      </c>
      <c r="E265" s="38">
        <v>84</v>
      </c>
      <c r="F265" s="23" t="s">
        <v>498</v>
      </c>
      <c r="G265" s="23" t="s">
        <v>498</v>
      </c>
      <c r="H265" s="23" t="s">
        <v>498</v>
      </c>
      <c r="I265" s="23" t="s">
        <v>498</v>
      </c>
    </row>
    <row r="266" spans="1:9" customFormat="1" ht="15">
      <c r="A266" s="616" t="s">
        <v>673</v>
      </c>
      <c r="B266" s="23">
        <v>539</v>
      </c>
      <c r="C266" s="38">
        <v>179</v>
      </c>
      <c r="D266" s="23">
        <v>970</v>
      </c>
      <c r="E266" s="38">
        <v>672</v>
      </c>
      <c r="F266" s="23" t="s">
        <v>498</v>
      </c>
      <c r="G266" s="23" t="s">
        <v>498</v>
      </c>
      <c r="H266" s="23" t="s">
        <v>498</v>
      </c>
      <c r="I266" s="23" t="s">
        <v>498</v>
      </c>
    </row>
    <row r="267" spans="1:9" customFormat="1" ht="15">
      <c r="A267" s="616" t="s">
        <v>674</v>
      </c>
      <c r="B267" s="23">
        <v>126</v>
      </c>
      <c r="C267" s="38">
        <v>49</v>
      </c>
      <c r="D267" s="23">
        <v>502</v>
      </c>
      <c r="E267" s="38">
        <v>390</v>
      </c>
      <c r="F267" s="23" t="s">
        <v>498</v>
      </c>
      <c r="G267" s="23" t="s">
        <v>498</v>
      </c>
      <c r="H267" s="23" t="s">
        <v>498</v>
      </c>
      <c r="I267" s="23" t="s">
        <v>498</v>
      </c>
    </row>
    <row r="268" spans="1:9" customFormat="1" ht="15">
      <c r="A268" s="616" t="s">
        <v>675</v>
      </c>
      <c r="B268" s="23">
        <v>41</v>
      </c>
      <c r="C268" s="38">
        <v>26</v>
      </c>
      <c r="D268" s="23">
        <v>633</v>
      </c>
      <c r="E268" s="38">
        <v>178</v>
      </c>
      <c r="F268" s="23" t="s">
        <v>498</v>
      </c>
      <c r="G268" s="23" t="s">
        <v>498</v>
      </c>
      <c r="H268" s="23" t="s">
        <v>498</v>
      </c>
      <c r="I268" s="23" t="s">
        <v>498</v>
      </c>
    </row>
    <row r="269" spans="1:9" customFormat="1" ht="15">
      <c r="A269" s="616" t="s">
        <v>676</v>
      </c>
      <c r="B269" s="23" t="s">
        <v>498</v>
      </c>
      <c r="C269" s="38">
        <v>33</v>
      </c>
      <c r="D269" s="23">
        <v>1144</v>
      </c>
      <c r="E269" s="38">
        <v>528</v>
      </c>
      <c r="F269" s="23" t="s">
        <v>498</v>
      </c>
      <c r="G269" s="23" t="s">
        <v>498</v>
      </c>
      <c r="H269" s="23" t="s">
        <v>498</v>
      </c>
      <c r="I269" s="23" t="s">
        <v>498</v>
      </c>
    </row>
    <row r="270" spans="1:9" customFormat="1" ht="15">
      <c r="A270" s="616" t="s">
        <v>677</v>
      </c>
      <c r="B270" s="23">
        <v>601</v>
      </c>
      <c r="C270" s="38">
        <v>277</v>
      </c>
      <c r="D270" s="23">
        <v>5359</v>
      </c>
      <c r="E270" s="38">
        <v>1424</v>
      </c>
      <c r="F270" s="23" t="s">
        <v>498</v>
      </c>
      <c r="G270" s="23" t="s">
        <v>498</v>
      </c>
      <c r="H270" s="23" t="s">
        <v>498</v>
      </c>
      <c r="I270" s="23" t="s">
        <v>498</v>
      </c>
    </row>
    <row r="271" spans="1:9" customFormat="1" ht="15">
      <c r="A271" s="616" t="s">
        <v>678</v>
      </c>
      <c r="B271" s="23">
        <v>5627</v>
      </c>
      <c r="C271" s="54">
        <v>1969</v>
      </c>
      <c r="D271" s="23">
        <v>15192</v>
      </c>
      <c r="E271" s="38">
        <v>7265</v>
      </c>
      <c r="F271" s="23">
        <v>2776</v>
      </c>
      <c r="G271" s="23" t="s">
        <v>498</v>
      </c>
      <c r="H271" s="23" t="s">
        <v>498</v>
      </c>
      <c r="I271" s="23" t="s">
        <v>498</v>
      </c>
    </row>
    <row r="272" spans="1:9" customFormat="1" ht="15">
      <c r="A272" s="616" t="s">
        <v>679</v>
      </c>
      <c r="B272" s="23">
        <v>504</v>
      </c>
      <c r="C272" s="38">
        <v>183</v>
      </c>
      <c r="D272" s="23">
        <v>1294</v>
      </c>
      <c r="E272" s="38">
        <v>846</v>
      </c>
      <c r="F272" s="23" t="s">
        <v>498</v>
      </c>
      <c r="G272" s="23" t="s">
        <v>498</v>
      </c>
      <c r="H272" s="23" t="s">
        <v>498</v>
      </c>
      <c r="I272" s="23" t="s">
        <v>498</v>
      </c>
    </row>
    <row r="273" spans="1:9" customFormat="1" ht="15">
      <c r="A273" s="616" t="s">
        <v>680</v>
      </c>
      <c r="B273" s="23">
        <v>3140</v>
      </c>
      <c r="C273" s="38">
        <v>992</v>
      </c>
      <c r="D273" s="23">
        <v>7349</v>
      </c>
      <c r="E273" s="38">
        <v>2937</v>
      </c>
      <c r="F273" s="23" t="s">
        <v>498</v>
      </c>
      <c r="G273" s="38">
        <v>845</v>
      </c>
      <c r="H273" s="23" t="s">
        <v>498</v>
      </c>
      <c r="I273" s="23" t="s">
        <v>498</v>
      </c>
    </row>
    <row r="274" spans="1:9" customFormat="1" ht="15">
      <c r="A274" s="616" t="s">
        <v>681</v>
      </c>
      <c r="B274" s="23">
        <v>2604</v>
      </c>
      <c r="C274" s="38">
        <v>879</v>
      </c>
      <c r="D274" s="23">
        <v>8457</v>
      </c>
      <c r="E274" s="38">
        <v>2678</v>
      </c>
      <c r="F274" s="23" t="s">
        <v>498</v>
      </c>
      <c r="G274" s="23" t="s">
        <v>498</v>
      </c>
      <c r="H274" s="23" t="s">
        <v>498</v>
      </c>
      <c r="I274" s="23" t="s">
        <v>498</v>
      </c>
    </row>
    <row r="275" spans="1:9" customFormat="1" ht="15">
      <c r="A275" s="616" t="s">
        <v>682</v>
      </c>
      <c r="B275" s="23">
        <v>73</v>
      </c>
      <c r="C275" s="38">
        <v>50</v>
      </c>
      <c r="D275" s="23">
        <v>481</v>
      </c>
      <c r="E275" s="38">
        <v>62</v>
      </c>
      <c r="F275" s="23">
        <v>62</v>
      </c>
      <c r="G275" s="23" t="s">
        <v>498</v>
      </c>
      <c r="H275" s="23" t="s">
        <v>498</v>
      </c>
      <c r="I275" s="23" t="s">
        <v>498</v>
      </c>
    </row>
    <row r="276" spans="1:9" customFormat="1" ht="15">
      <c r="A276" s="616" t="s">
        <v>683</v>
      </c>
      <c r="B276" s="23" t="s">
        <v>498</v>
      </c>
      <c r="C276" s="38">
        <v>8</v>
      </c>
      <c r="D276" s="23">
        <v>140</v>
      </c>
      <c r="E276" s="38">
        <v>1</v>
      </c>
      <c r="F276" s="23" t="s">
        <v>498</v>
      </c>
      <c r="G276" s="23" t="s">
        <v>498</v>
      </c>
      <c r="H276" s="23" t="s">
        <v>498</v>
      </c>
      <c r="I276" s="23" t="s">
        <v>498</v>
      </c>
    </row>
    <row r="277" spans="1:9" customFormat="1" ht="15">
      <c r="A277" s="616" t="s">
        <v>684</v>
      </c>
      <c r="B277" s="23" t="s">
        <v>498</v>
      </c>
      <c r="C277" s="38">
        <v>1</v>
      </c>
      <c r="D277" s="23" t="s">
        <v>498</v>
      </c>
      <c r="E277" s="38" t="s">
        <v>498</v>
      </c>
      <c r="F277" s="23" t="s">
        <v>498</v>
      </c>
      <c r="G277" s="23" t="s">
        <v>498</v>
      </c>
      <c r="H277" s="23" t="s">
        <v>498</v>
      </c>
      <c r="I277" s="23" t="s">
        <v>498</v>
      </c>
    </row>
    <row r="278" spans="1:9" customFormat="1" ht="15">
      <c r="A278" s="616" t="s">
        <v>685</v>
      </c>
      <c r="B278" s="23">
        <v>62</v>
      </c>
      <c r="C278" s="38">
        <v>88</v>
      </c>
      <c r="D278" s="23">
        <v>807</v>
      </c>
      <c r="E278" s="38">
        <v>574</v>
      </c>
      <c r="F278" s="23">
        <v>41</v>
      </c>
      <c r="G278" s="23" t="s">
        <v>498</v>
      </c>
      <c r="H278" s="23" t="s">
        <v>498</v>
      </c>
      <c r="I278" s="23" t="s">
        <v>498</v>
      </c>
    </row>
    <row r="279" spans="1:9" customFormat="1" ht="15">
      <c r="A279" s="616" t="s">
        <v>686</v>
      </c>
      <c r="B279" s="23">
        <v>201</v>
      </c>
      <c r="C279" s="38">
        <v>81</v>
      </c>
      <c r="D279" s="23">
        <v>1474</v>
      </c>
      <c r="E279" s="38">
        <v>923</v>
      </c>
      <c r="F279" s="23" t="s">
        <v>498</v>
      </c>
      <c r="G279" s="23" t="s">
        <v>498</v>
      </c>
      <c r="H279" s="23" t="s">
        <v>498</v>
      </c>
      <c r="I279" s="23" t="s">
        <v>498</v>
      </c>
    </row>
    <row r="280" spans="1:9" customFormat="1" ht="15">
      <c r="A280" s="616" t="s">
        <v>687</v>
      </c>
      <c r="B280" s="23" t="s">
        <v>498</v>
      </c>
      <c r="C280" s="38">
        <v>24</v>
      </c>
      <c r="D280" s="23">
        <v>728</v>
      </c>
      <c r="E280" s="38">
        <v>135</v>
      </c>
      <c r="F280" s="23" t="s">
        <v>498</v>
      </c>
      <c r="G280" s="23" t="s">
        <v>498</v>
      </c>
      <c r="H280" s="23" t="s">
        <v>498</v>
      </c>
      <c r="I280" s="23" t="s">
        <v>498</v>
      </c>
    </row>
    <row r="281" spans="1:9" customFormat="1" ht="15">
      <c r="A281" s="616" t="s">
        <v>688</v>
      </c>
      <c r="B281" s="23">
        <v>231</v>
      </c>
      <c r="C281" s="38">
        <v>73</v>
      </c>
      <c r="D281" s="23">
        <v>145</v>
      </c>
      <c r="E281" s="38">
        <v>52</v>
      </c>
      <c r="F281" s="23">
        <v>77</v>
      </c>
      <c r="G281" s="23" t="s">
        <v>498</v>
      </c>
      <c r="H281" s="23" t="s">
        <v>498</v>
      </c>
      <c r="I281" s="23" t="s">
        <v>498</v>
      </c>
    </row>
    <row r="282" spans="1:9" customFormat="1" ht="15">
      <c r="A282" s="616" t="s">
        <v>689</v>
      </c>
      <c r="B282" s="23">
        <v>728</v>
      </c>
      <c r="C282" s="38">
        <v>257</v>
      </c>
      <c r="D282" s="23">
        <v>2038</v>
      </c>
      <c r="E282" s="38">
        <v>786</v>
      </c>
      <c r="F282" s="23">
        <v>786</v>
      </c>
      <c r="G282" s="23" t="s">
        <v>498</v>
      </c>
      <c r="H282" s="23" t="s">
        <v>498</v>
      </c>
      <c r="I282" s="23" t="s">
        <v>498</v>
      </c>
    </row>
    <row r="283" spans="1:9" customFormat="1" ht="15">
      <c r="A283" s="616" t="s">
        <v>690</v>
      </c>
      <c r="B283" s="23">
        <v>110</v>
      </c>
      <c r="C283" s="38">
        <v>178</v>
      </c>
      <c r="D283" s="23">
        <v>1511</v>
      </c>
      <c r="E283" s="38">
        <v>1403</v>
      </c>
      <c r="F283" s="23" t="s">
        <v>498</v>
      </c>
      <c r="G283" s="23" t="s">
        <v>498</v>
      </c>
      <c r="H283" s="23" t="s">
        <v>498</v>
      </c>
      <c r="I283" s="23" t="s">
        <v>498</v>
      </c>
    </row>
    <row r="284" spans="1:9" customFormat="1" ht="15">
      <c r="A284" s="616" t="s">
        <v>691</v>
      </c>
      <c r="B284" s="23">
        <v>6723</v>
      </c>
      <c r="C284" s="54">
        <v>1824</v>
      </c>
      <c r="D284" s="23">
        <v>8117</v>
      </c>
      <c r="E284" s="38">
        <v>3792</v>
      </c>
      <c r="F284" s="23">
        <v>3792</v>
      </c>
      <c r="G284" s="38">
        <v>78</v>
      </c>
      <c r="H284" s="23" t="s">
        <v>498</v>
      </c>
      <c r="I284" s="23" t="s">
        <v>498</v>
      </c>
    </row>
    <row r="285" spans="1:9" customFormat="1" ht="15">
      <c r="A285" s="616" t="s">
        <v>692</v>
      </c>
      <c r="B285" s="23">
        <v>175</v>
      </c>
      <c r="C285" s="38">
        <v>191</v>
      </c>
      <c r="D285" s="23">
        <v>6618</v>
      </c>
      <c r="E285" s="38">
        <v>1020</v>
      </c>
      <c r="F285" s="23" t="s">
        <v>498</v>
      </c>
      <c r="G285" s="38" t="s">
        <v>498</v>
      </c>
      <c r="H285" s="23" t="s">
        <v>498</v>
      </c>
      <c r="I285" s="23" t="s">
        <v>498</v>
      </c>
    </row>
    <row r="286" spans="1:9" customFormat="1" ht="15">
      <c r="A286" s="616" t="s">
        <v>693</v>
      </c>
      <c r="B286" s="23">
        <v>181</v>
      </c>
      <c r="C286" s="38">
        <v>51</v>
      </c>
      <c r="D286" s="23">
        <v>177</v>
      </c>
      <c r="E286" s="38">
        <v>2</v>
      </c>
      <c r="F286" s="23" t="s">
        <v>498</v>
      </c>
      <c r="G286" s="38" t="s">
        <v>498</v>
      </c>
      <c r="H286" s="23" t="s">
        <v>498</v>
      </c>
      <c r="I286" s="23" t="s">
        <v>498</v>
      </c>
    </row>
    <row r="287" spans="1:9" customFormat="1" ht="15">
      <c r="A287" s="616" t="s">
        <v>694</v>
      </c>
      <c r="B287" s="23" t="s">
        <v>498</v>
      </c>
      <c r="C287" s="38">
        <v>13</v>
      </c>
      <c r="D287" s="23">
        <v>351</v>
      </c>
      <c r="E287" s="38">
        <v>9</v>
      </c>
      <c r="F287" s="23" t="s">
        <v>498</v>
      </c>
      <c r="G287" s="38" t="s">
        <v>498</v>
      </c>
      <c r="H287" s="23" t="s">
        <v>498</v>
      </c>
      <c r="I287" s="23" t="s">
        <v>498</v>
      </c>
    </row>
    <row r="288" spans="1:9" customFormat="1" ht="15">
      <c r="A288" s="616" t="s">
        <v>695</v>
      </c>
      <c r="B288" s="23">
        <v>922</v>
      </c>
      <c r="C288" s="38">
        <v>261</v>
      </c>
      <c r="D288" s="23">
        <v>2579</v>
      </c>
      <c r="E288" s="38">
        <v>1413</v>
      </c>
      <c r="F288" s="23">
        <v>1413</v>
      </c>
      <c r="G288" s="38" t="s">
        <v>498</v>
      </c>
      <c r="H288" s="23" t="s">
        <v>498</v>
      </c>
      <c r="I288" s="23" t="s">
        <v>498</v>
      </c>
    </row>
    <row r="289" spans="1:17" customFormat="1" ht="15">
      <c r="A289" s="616" t="s">
        <v>696</v>
      </c>
      <c r="B289" s="23">
        <v>489</v>
      </c>
      <c r="C289" s="38">
        <v>154</v>
      </c>
      <c r="D289" s="23">
        <v>863</v>
      </c>
      <c r="E289" s="38">
        <v>411</v>
      </c>
      <c r="F289" s="38" t="s">
        <v>498</v>
      </c>
      <c r="G289" s="38" t="s">
        <v>498</v>
      </c>
      <c r="H289" s="23" t="s">
        <v>498</v>
      </c>
      <c r="I289" s="23" t="s">
        <v>498</v>
      </c>
    </row>
    <row r="290" spans="1:17" customFormat="1" ht="15">
      <c r="A290" s="616" t="s">
        <v>697</v>
      </c>
      <c r="B290" s="23">
        <v>204</v>
      </c>
      <c r="C290" s="38">
        <v>95</v>
      </c>
      <c r="D290" s="23">
        <v>1864</v>
      </c>
      <c r="E290" s="38">
        <v>771</v>
      </c>
      <c r="F290" s="38" t="s">
        <v>498</v>
      </c>
      <c r="G290" s="38" t="s">
        <v>498</v>
      </c>
      <c r="H290" s="23" t="s">
        <v>498</v>
      </c>
      <c r="I290" s="23" t="s">
        <v>498</v>
      </c>
    </row>
    <row r="291" spans="1:17" customFormat="1" ht="15">
      <c r="A291" s="616" t="s">
        <v>698</v>
      </c>
      <c r="B291" s="23">
        <v>7</v>
      </c>
      <c r="C291" s="38">
        <v>2</v>
      </c>
      <c r="D291" s="23">
        <v>9</v>
      </c>
      <c r="E291" s="38">
        <v>5</v>
      </c>
      <c r="F291" s="38" t="s">
        <v>498</v>
      </c>
      <c r="G291" s="38" t="s">
        <v>498</v>
      </c>
      <c r="H291" s="23" t="s">
        <v>498</v>
      </c>
      <c r="I291" s="23" t="s">
        <v>498</v>
      </c>
    </row>
    <row r="292" spans="1:17" customFormat="1" ht="15">
      <c r="A292" s="616" t="s">
        <v>699</v>
      </c>
      <c r="B292" s="23">
        <v>681</v>
      </c>
      <c r="C292" s="38">
        <v>415</v>
      </c>
      <c r="D292" s="23">
        <v>10050</v>
      </c>
      <c r="E292" s="38">
        <v>1963</v>
      </c>
      <c r="F292" s="38" t="s">
        <v>498</v>
      </c>
      <c r="G292" s="38" t="s">
        <v>498</v>
      </c>
      <c r="H292" s="23" t="s">
        <v>498</v>
      </c>
      <c r="I292" s="23" t="s">
        <v>498</v>
      </c>
    </row>
    <row r="293" spans="1:17" customFormat="1" ht="15">
      <c r="A293" s="616" t="s">
        <v>700</v>
      </c>
      <c r="B293" s="23">
        <v>114666</v>
      </c>
      <c r="C293" s="54">
        <v>32303</v>
      </c>
      <c r="D293" s="23">
        <v>338737</v>
      </c>
      <c r="E293" s="38">
        <v>134519</v>
      </c>
      <c r="F293" s="38" t="s">
        <v>498</v>
      </c>
      <c r="G293" s="38">
        <v>2586</v>
      </c>
      <c r="H293" s="23" t="s">
        <v>498</v>
      </c>
      <c r="I293" s="23" t="s">
        <v>498</v>
      </c>
    </row>
    <row r="294" spans="1:17" customFormat="1" ht="15">
      <c r="A294" s="616" t="s">
        <v>701</v>
      </c>
      <c r="B294" s="23">
        <v>50</v>
      </c>
      <c r="C294" s="38">
        <v>25</v>
      </c>
      <c r="D294" s="23">
        <v>108</v>
      </c>
      <c r="E294" s="38">
        <v>4</v>
      </c>
      <c r="F294" s="23">
        <v>4</v>
      </c>
      <c r="G294" s="38" t="s">
        <v>498</v>
      </c>
      <c r="H294" s="23" t="s">
        <v>498</v>
      </c>
      <c r="I294" s="23" t="s">
        <v>498</v>
      </c>
      <c r="K294" s="327"/>
    </row>
    <row r="295" spans="1:17" customFormat="1" ht="15">
      <c r="A295" s="616" t="s">
        <v>702</v>
      </c>
      <c r="B295" s="23">
        <v>189</v>
      </c>
      <c r="C295" s="38">
        <v>74</v>
      </c>
      <c r="D295" s="23">
        <v>4070</v>
      </c>
      <c r="E295" s="38">
        <v>2570</v>
      </c>
      <c r="F295" s="23" t="s">
        <v>498</v>
      </c>
      <c r="G295" s="38">
        <v>594</v>
      </c>
      <c r="H295" s="23" t="s">
        <v>498</v>
      </c>
      <c r="I295" s="23" t="s">
        <v>498</v>
      </c>
    </row>
    <row r="296" spans="1:17" ht="15">
      <c r="A296" s="616" t="s">
        <v>703</v>
      </c>
      <c r="B296" s="333">
        <v>198845</v>
      </c>
      <c r="C296" s="333">
        <v>59672</v>
      </c>
      <c r="D296" s="333">
        <v>558830</v>
      </c>
      <c r="E296" s="333">
        <v>222647</v>
      </c>
      <c r="F296" s="333">
        <v>11051</v>
      </c>
      <c r="G296" s="333">
        <v>14499</v>
      </c>
      <c r="H296" s="333">
        <v>4417</v>
      </c>
      <c r="I296" s="333">
        <v>2794</v>
      </c>
      <c r="J296" s="279"/>
      <c r="K296" s="279"/>
      <c r="L296" s="221"/>
      <c r="M296" s="221"/>
      <c r="N296" s="221"/>
      <c r="O296" s="221"/>
      <c r="P296" s="221"/>
      <c r="Q296" s="221"/>
    </row>
    <row r="297" spans="1:17" ht="15">
      <c r="A297" s="87"/>
      <c r="B297" s="279"/>
      <c r="C297" s="279"/>
      <c r="D297" s="221"/>
      <c r="E297" s="221"/>
      <c r="F297" s="279"/>
      <c r="G297" s="279"/>
      <c r="H297" s="279"/>
      <c r="I297" s="279"/>
      <c r="J297" s="279"/>
      <c r="K297" s="279"/>
      <c r="L297" s="221"/>
      <c r="M297" s="221"/>
      <c r="N297" s="221"/>
      <c r="O297" s="221"/>
      <c r="P297" s="221"/>
      <c r="Q297" s="221"/>
    </row>
    <row r="298" spans="1:17" ht="15">
      <c r="A298" s="87"/>
      <c r="B298" s="279"/>
      <c r="C298" s="279"/>
      <c r="D298" s="279"/>
      <c r="E298" s="279"/>
      <c r="F298" s="279"/>
      <c r="G298" s="279"/>
      <c r="H298" s="279"/>
      <c r="I298" s="279"/>
      <c r="J298" s="279"/>
      <c r="K298" s="279"/>
      <c r="L298" s="221"/>
      <c r="M298" s="279"/>
      <c r="N298" s="279"/>
      <c r="O298" s="279"/>
      <c r="P298" s="279"/>
      <c r="Q298" s="279"/>
    </row>
    <row r="299" spans="1:17" ht="14.1" customHeight="1">
      <c r="A299" s="772" t="s">
        <v>704</v>
      </c>
      <c r="B299" s="773"/>
      <c r="C299" s="773"/>
      <c r="D299" s="773"/>
      <c r="E299" s="774"/>
      <c r="G299" s="5"/>
      <c r="H299" s="279"/>
      <c r="I299" s="279"/>
      <c r="J299" s="279"/>
      <c r="K299" s="279"/>
      <c r="L299" s="221"/>
      <c r="M299" s="5"/>
      <c r="N299" s="279"/>
      <c r="O299" s="25"/>
      <c r="P299" s="25"/>
      <c r="Q299" s="25"/>
    </row>
    <row r="300" spans="1:17" ht="43.5">
      <c r="A300" s="571" t="s">
        <v>705</v>
      </c>
      <c r="B300" s="572" t="s">
        <v>706</v>
      </c>
      <c r="C300" s="571" t="s">
        <v>707</v>
      </c>
      <c r="D300" s="571" t="s">
        <v>708</v>
      </c>
      <c r="E300" s="572" t="s">
        <v>709</v>
      </c>
      <c r="G300" s="5"/>
      <c r="H300" s="279"/>
      <c r="I300" s="279"/>
      <c r="J300" s="279"/>
      <c r="K300" s="279"/>
      <c r="L300" s="221"/>
      <c r="M300" s="5"/>
      <c r="N300" s="279"/>
      <c r="O300" s="5"/>
      <c r="P300" s="5"/>
      <c r="Q300" s="5"/>
    </row>
    <row r="301" spans="1:17" ht="31.5" customHeight="1">
      <c r="A301" s="302" t="s">
        <v>710</v>
      </c>
      <c r="B301" s="302" t="s">
        <v>711</v>
      </c>
      <c r="C301" s="404">
        <v>3755</v>
      </c>
      <c r="D301" s="404">
        <v>192625</v>
      </c>
      <c r="E301" s="405">
        <v>196380</v>
      </c>
      <c r="G301" s="5"/>
      <c r="H301" s="279"/>
      <c r="I301" s="279"/>
      <c r="J301" s="279"/>
      <c r="K301" s="279"/>
      <c r="L301" s="221"/>
      <c r="M301" s="5"/>
      <c r="N301" s="279"/>
      <c r="O301" s="28"/>
      <c r="P301" s="5"/>
      <c r="Q301" s="5"/>
    </row>
    <row r="302" spans="1:17" ht="29.25" customHeight="1">
      <c r="A302" s="302" t="s">
        <v>712</v>
      </c>
      <c r="B302" s="484" t="s">
        <v>498</v>
      </c>
      <c r="C302" s="404">
        <v>559426</v>
      </c>
      <c r="D302" s="404">
        <v>21115</v>
      </c>
      <c r="E302" s="406">
        <v>580541</v>
      </c>
      <c r="G302" s="5"/>
      <c r="H302" s="279"/>
      <c r="I302" s="279"/>
      <c r="J302" s="279"/>
      <c r="K302" s="279"/>
      <c r="L302" s="221"/>
      <c r="M302" s="5"/>
      <c r="N302" s="279"/>
      <c r="O302" s="5"/>
      <c r="P302" s="5"/>
      <c r="Q302" s="5"/>
    </row>
    <row r="303" spans="1:17" ht="29.25" customHeight="1">
      <c r="A303" s="302" t="s">
        <v>713</v>
      </c>
      <c r="B303" s="484" t="s">
        <v>498</v>
      </c>
      <c r="C303" s="404">
        <v>2465</v>
      </c>
      <c r="D303" s="404">
        <v>0</v>
      </c>
      <c r="E303" s="406">
        <v>2465</v>
      </c>
      <c r="G303" s="5"/>
      <c r="H303" s="279"/>
      <c r="I303" s="279"/>
      <c r="J303" s="279"/>
      <c r="K303" s="279"/>
      <c r="L303" s="221"/>
      <c r="M303" s="5"/>
      <c r="N303" s="279"/>
      <c r="O303" s="5"/>
      <c r="P303" s="5"/>
      <c r="Q303" s="5"/>
    </row>
    <row r="304" spans="1:17" ht="15">
      <c r="A304" s="765" t="s">
        <v>714</v>
      </c>
      <c r="B304" s="766"/>
      <c r="C304" s="406">
        <v>565646</v>
      </c>
      <c r="D304" s="405">
        <v>213740</v>
      </c>
      <c r="E304" s="406">
        <v>779386</v>
      </c>
      <c r="G304" s="5"/>
      <c r="H304" s="279"/>
      <c r="I304" s="279"/>
      <c r="J304" s="279"/>
      <c r="K304" s="279"/>
      <c r="L304" s="221"/>
      <c r="M304" s="5"/>
      <c r="N304" s="229"/>
      <c r="O304" s="5"/>
      <c r="P304" s="5"/>
      <c r="Q304" s="5"/>
    </row>
    <row r="305" spans="1:30" customFormat="1" ht="15.75" customHeight="1">
      <c r="A305" s="1"/>
      <c r="B305" s="244"/>
      <c r="C305" s="244"/>
      <c r="D305" s="244"/>
      <c r="E305" s="244"/>
      <c r="F305" s="244"/>
      <c r="G305" s="244"/>
      <c r="H305" s="244"/>
      <c r="I305" s="244"/>
      <c r="J305" s="244"/>
      <c r="K305" s="299"/>
      <c r="L305" s="244"/>
      <c r="M305" s="244"/>
      <c r="N305" s="244"/>
    </row>
    <row r="306" spans="1:30" customFormat="1" ht="15">
      <c r="B306" s="244"/>
      <c r="C306" s="244"/>
      <c r="D306" s="244"/>
      <c r="E306" s="244"/>
      <c r="F306" s="244"/>
      <c r="G306" s="244"/>
      <c r="H306" s="244"/>
      <c r="I306" s="244"/>
      <c r="J306" s="244"/>
    </row>
    <row r="307" spans="1:30" customFormat="1" ht="15" customHeight="1">
      <c r="A307" s="776" t="s">
        <v>715</v>
      </c>
      <c r="B307" s="777"/>
      <c r="C307" s="777"/>
      <c r="D307" s="777"/>
      <c r="E307" s="777"/>
      <c r="F307" s="777"/>
      <c r="G307" s="777"/>
      <c r="H307" s="777"/>
      <c r="I307" s="777"/>
      <c r="J307" s="777"/>
      <c r="K307" s="777"/>
      <c r="L307" s="777"/>
      <c r="M307" s="777"/>
      <c r="N307" s="777"/>
      <c r="O307" s="777"/>
      <c r="P307" s="777"/>
      <c r="Q307" s="777"/>
      <c r="R307" s="777"/>
      <c r="S307" s="777"/>
      <c r="T307" s="777"/>
      <c r="U307" s="777"/>
      <c r="V307" s="777"/>
      <c r="W307" s="777"/>
      <c r="X307" s="777"/>
      <c r="Y307" s="777"/>
      <c r="Z307" s="777"/>
      <c r="AA307" s="777"/>
      <c r="AB307" s="304"/>
      <c r="AC307" s="304"/>
      <c r="AD307" s="304"/>
    </row>
    <row r="308" spans="1:30" customFormat="1" ht="15" customHeight="1">
      <c r="A308" s="742" t="s">
        <v>716</v>
      </c>
      <c r="B308" s="742"/>
      <c r="C308" s="742"/>
      <c r="D308" s="742"/>
      <c r="E308" s="742"/>
      <c r="F308" s="742"/>
      <c r="G308" s="742"/>
      <c r="H308" s="742"/>
      <c r="I308" s="742"/>
      <c r="J308" s="742"/>
      <c r="K308" s="742"/>
      <c r="L308" s="742"/>
      <c r="M308" s="742"/>
      <c r="N308" s="742"/>
      <c r="O308" s="742"/>
      <c r="P308" s="742"/>
      <c r="Q308" s="742"/>
      <c r="R308" s="742"/>
      <c r="S308" s="742"/>
      <c r="T308" s="742"/>
      <c r="U308" s="742"/>
      <c r="V308" s="742"/>
      <c r="W308" s="742"/>
      <c r="X308" s="742"/>
      <c r="Y308" s="721" t="s">
        <v>717</v>
      </c>
      <c r="Z308" s="721"/>
      <c r="AA308" s="721"/>
      <c r="AB308" s="304"/>
      <c r="AC308" s="304"/>
    </row>
    <row r="309" spans="1:30" customFormat="1" ht="15">
      <c r="A309" s="722" t="s">
        <v>718</v>
      </c>
      <c r="B309" s="723"/>
      <c r="C309" s="723"/>
      <c r="D309" s="723"/>
      <c r="E309" s="723"/>
      <c r="F309" s="723"/>
      <c r="G309" s="723"/>
      <c r="H309" s="723"/>
      <c r="I309" s="723"/>
      <c r="J309" s="723"/>
      <c r="K309" s="723"/>
      <c r="L309" s="723"/>
      <c r="M309" s="723"/>
      <c r="N309" s="723"/>
      <c r="O309" s="723"/>
      <c r="P309" s="723"/>
      <c r="Q309" s="723"/>
      <c r="R309" s="723"/>
      <c r="S309" s="723"/>
      <c r="T309" s="722" t="s">
        <v>719</v>
      </c>
      <c r="U309" s="724"/>
      <c r="V309" s="725"/>
      <c r="W309" s="723" t="s">
        <v>720</v>
      </c>
      <c r="X309" s="723"/>
      <c r="Y309" s="778" t="s">
        <v>721</v>
      </c>
      <c r="Z309" s="778"/>
      <c r="AA309" s="778"/>
      <c r="AB309" s="304"/>
      <c r="AC309" s="304"/>
    </row>
    <row r="310" spans="1:30" customFormat="1" ht="15">
      <c r="A310" s="491" t="s">
        <v>721</v>
      </c>
      <c r="B310" s="717" t="s">
        <v>722</v>
      </c>
      <c r="C310" s="717"/>
      <c r="D310" s="717"/>
      <c r="E310" s="718"/>
      <c r="F310" s="719" t="s">
        <v>723</v>
      </c>
      <c r="G310" s="719"/>
      <c r="H310" s="720"/>
      <c r="I310" s="717" t="s">
        <v>724</v>
      </c>
      <c r="J310" s="717"/>
      <c r="K310" s="717"/>
      <c r="L310" s="718"/>
      <c r="M310" s="619"/>
      <c r="N310" s="619"/>
      <c r="O310" s="717" t="s">
        <v>725</v>
      </c>
      <c r="P310" s="717"/>
      <c r="Q310" s="717"/>
      <c r="R310" s="717"/>
      <c r="S310" s="717"/>
      <c r="T310" s="739" t="s">
        <v>725</v>
      </c>
      <c r="U310" s="739"/>
      <c r="V310" s="739"/>
      <c r="W310" s="740" t="s">
        <v>726</v>
      </c>
      <c r="X310" s="743" t="s">
        <v>727</v>
      </c>
      <c r="Y310" s="778" t="s">
        <v>721</v>
      </c>
      <c r="Z310" s="778"/>
      <c r="AA310" s="778"/>
      <c r="AB310" s="304"/>
      <c r="AC310" s="321"/>
    </row>
    <row r="311" spans="1:30" customFormat="1" ht="72">
      <c r="A311" s="486" t="s">
        <v>654</v>
      </c>
      <c r="B311" s="487" t="s">
        <v>728</v>
      </c>
      <c r="C311" s="487" t="s">
        <v>729</v>
      </c>
      <c r="D311" s="487" t="s">
        <v>730</v>
      </c>
      <c r="E311" s="487" t="s">
        <v>731</v>
      </c>
      <c r="F311" s="487" t="s">
        <v>732</v>
      </c>
      <c r="G311" s="487" t="s">
        <v>733</v>
      </c>
      <c r="H311" s="487" t="s">
        <v>734</v>
      </c>
      <c r="I311" s="487" t="s">
        <v>735</v>
      </c>
      <c r="J311" s="487" t="s">
        <v>736</v>
      </c>
      <c r="K311" s="487" t="s">
        <v>737</v>
      </c>
      <c r="L311" s="487" t="s">
        <v>738</v>
      </c>
      <c r="M311" s="487" t="s">
        <v>739</v>
      </c>
      <c r="N311" s="487" t="s">
        <v>740</v>
      </c>
      <c r="O311" s="487" t="s">
        <v>741</v>
      </c>
      <c r="P311" s="487" t="s">
        <v>742</v>
      </c>
      <c r="Q311" s="487" t="s">
        <v>743</v>
      </c>
      <c r="R311" s="488" t="s">
        <v>744</v>
      </c>
      <c r="S311" s="489" t="s">
        <v>745</v>
      </c>
      <c r="T311" s="487" t="s">
        <v>743</v>
      </c>
      <c r="U311" s="487" t="s">
        <v>744</v>
      </c>
      <c r="V311" s="488" t="s">
        <v>745</v>
      </c>
      <c r="W311" s="741"/>
      <c r="X311" s="744"/>
      <c r="Y311" s="489" t="s">
        <v>746</v>
      </c>
      <c r="Z311" s="490" t="s">
        <v>713</v>
      </c>
      <c r="AA311" s="490" t="s">
        <v>209</v>
      </c>
      <c r="AB311" s="304"/>
      <c r="AC311" s="322"/>
    </row>
    <row r="312" spans="1:30" customFormat="1" ht="15">
      <c r="A312" s="305" t="s">
        <v>658</v>
      </c>
      <c r="B312" s="306"/>
      <c r="C312" s="307"/>
      <c r="D312" s="307"/>
      <c r="E312" s="307"/>
      <c r="F312" s="307"/>
      <c r="G312" s="307"/>
      <c r="H312" s="307"/>
      <c r="I312" s="307"/>
      <c r="J312" s="307"/>
      <c r="K312" s="307"/>
      <c r="L312" s="307"/>
      <c r="M312" s="307"/>
      <c r="N312" s="307"/>
      <c r="O312" s="307" t="s">
        <v>747</v>
      </c>
      <c r="P312" s="307" t="s">
        <v>748</v>
      </c>
      <c r="Q312" s="307" t="s">
        <v>748</v>
      </c>
      <c r="R312" s="307" t="s">
        <v>748</v>
      </c>
      <c r="S312" s="308">
        <v>639</v>
      </c>
      <c r="T312" s="307" t="s">
        <v>749</v>
      </c>
      <c r="U312" s="307" t="s">
        <v>750</v>
      </c>
      <c r="V312" s="307" t="s">
        <v>751</v>
      </c>
      <c r="W312" s="308">
        <f>SUM(B312:S312)</f>
        <v>639</v>
      </c>
      <c r="X312" s="308">
        <f t="shared" ref="X312:X356" si="0">SUM(T312:V312)</f>
        <v>0</v>
      </c>
      <c r="Y312" s="485" t="s">
        <v>498</v>
      </c>
      <c r="Z312" s="485" t="s">
        <v>498</v>
      </c>
      <c r="AA312" s="485" t="s">
        <v>498</v>
      </c>
      <c r="AB312" s="304"/>
      <c r="AC312" s="304"/>
    </row>
    <row r="313" spans="1:30" customFormat="1" ht="15">
      <c r="A313" s="311" t="s">
        <v>659</v>
      </c>
      <c r="B313" s="312"/>
      <c r="C313" s="308"/>
      <c r="D313" s="308">
        <v>135</v>
      </c>
      <c r="E313" s="308"/>
      <c r="F313" s="308"/>
      <c r="G313" s="308"/>
      <c r="H313" s="308"/>
      <c r="I313" s="308"/>
      <c r="J313" s="308"/>
      <c r="K313" s="308"/>
      <c r="L313" s="308"/>
      <c r="M313" s="308"/>
      <c r="N313" s="308"/>
      <c r="O313" s="308" t="s">
        <v>747</v>
      </c>
      <c r="P313" s="308" t="s">
        <v>748</v>
      </c>
      <c r="Q313" s="308" t="s">
        <v>748</v>
      </c>
      <c r="R313" s="308" t="s">
        <v>748</v>
      </c>
      <c r="S313" s="308" t="s">
        <v>748</v>
      </c>
      <c r="T313" s="320">
        <v>2398</v>
      </c>
      <c r="U313" s="308" t="s">
        <v>750</v>
      </c>
      <c r="V313" s="308" t="s">
        <v>751</v>
      </c>
      <c r="W313" s="308">
        <f>SUM(B313:S313)</f>
        <v>135</v>
      </c>
      <c r="X313" s="308">
        <f t="shared" si="0"/>
        <v>2398</v>
      </c>
      <c r="Y313" s="485" t="s">
        <v>498</v>
      </c>
      <c r="Z313" s="485" t="s">
        <v>498</v>
      </c>
      <c r="AA313" s="485" t="s">
        <v>498</v>
      </c>
      <c r="AB313" s="304"/>
      <c r="AC313" s="304"/>
    </row>
    <row r="314" spans="1:30" customFormat="1" ht="15">
      <c r="A314" s="311" t="s">
        <v>660</v>
      </c>
      <c r="B314" s="312"/>
      <c r="C314" s="308"/>
      <c r="D314" s="308"/>
      <c r="E314" s="308"/>
      <c r="F314" s="308"/>
      <c r="G314" s="308"/>
      <c r="H314" s="308">
        <v>748</v>
      </c>
      <c r="I314" s="308"/>
      <c r="J314" s="308"/>
      <c r="K314" s="308"/>
      <c r="L314" s="308"/>
      <c r="M314" s="308"/>
      <c r="N314" s="308"/>
      <c r="O314" s="308" t="s">
        <v>747</v>
      </c>
      <c r="P314" s="308" t="s">
        <v>748</v>
      </c>
      <c r="Q314" s="308" t="s">
        <v>748</v>
      </c>
      <c r="R314" s="308" t="s">
        <v>748</v>
      </c>
      <c r="S314" s="308" t="s">
        <v>748</v>
      </c>
      <c r="T314" s="308" t="s">
        <v>749</v>
      </c>
      <c r="U314" s="308" t="s">
        <v>750</v>
      </c>
      <c r="V314" s="308" t="s">
        <v>751</v>
      </c>
      <c r="W314" s="308">
        <f>SUM(B314:S314)</f>
        <v>748</v>
      </c>
      <c r="X314" s="308">
        <f t="shared" si="0"/>
        <v>0</v>
      </c>
      <c r="Y314" s="309">
        <v>3755</v>
      </c>
      <c r="Z314" s="485" t="s">
        <v>498</v>
      </c>
      <c r="AA314" s="310">
        <v>3755</v>
      </c>
      <c r="AB314" s="304"/>
      <c r="AC314" s="304"/>
    </row>
    <row r="315" spans="1:30" customFormat="1" ht="15">
      <c r="A315" s="311" t="s">
        <v>661</v>
      </c>
      <c r="B315" s="319">
        <v>6001</v>
      </c>
      <c r="C315" s="308"/>
      <c r="D315" s="308">
        <v>58</v>
      </c>
      <c r="E315" s="320">
        <v>4417</v>
      </c>
      <c r="F315" s="320">
        <v>2794</v>
      </c>
      <c r="G315" s="308"/>
      <c r="H315" s="320">
        <v>1819</v>
      </c>
      <c r="I315" s="308"/>
      <c r="J315" s="308"/>
      <c r="K315" s="308"/>
      <c r="L315" s="308"/>
      <c r="M315" s="308"/>
      <c r="N315" s="320"/>
      <c r="O315" s="320">
        <v>31545</v>
      </c>
      <c r="P315" s="308" t="s">
        <v>748</v>
      </c>
      <c r="Q315" s="320">
        <v>1030</v>
      </c>
      <c r="R315" s="320">
        <v>1635</v>
      </c>
      <c r="S315" s="320">
        <v>4308</v>
      </c>
      <c r="T315" s="308" t="s">
        <v>749</v>
      </c>
      <c r="U315" s="308" t="s">
        <v>750</v>
      </c>
      <c r="V315" s="308" t="s">
        <v>751</v>
      </c>
      <c r="W315" s="308">
        <f>SUM(B315:S315)</f>
        <v>53607</v>
      </c>
      <c r="X315" s="308">
        <f t="shared" si="0"/>
        <v>0</v>
      </c>
      <c r="Y315" s="485" t="s">
        <v>498</v>
      </c>
      <c r="Z315" s="485" t="s">
        <v>498</v>
      </c>
      <c r="AA315" s="485" t="s">
        <v>498</v>
      </c>
      <c r="AB315" s="304"/>
      <c r="AC315" s="304"/>
    </row>
    <row r="316" spans="1:30" customFormat="1" ht="15">
      <c r="A316" s="311" t="s">
        <v>662</v>
      </c>
      <c r="B316" s="312"/>
      <c r="C316" s="308"/>
      <c r="D316" s="308"/>
      <c r="E316" s="308"/>
      <c r="F316" s="308"/>
      <c r="G316" s="308"/>
      <c r="H316" s="308"/>
      <c r="I316" s="308"/>
      <c r="J316" s="308"/>
      <c r="K316" s="308"/>
      <c r="L316" s="308"/>
      <c r="M316" s="308"/>
      <c r="N316" s="308"/>
      <c r="O316" s="308" t="s">
        <v>747</v>
      </c>
      <c r="P316" s="308" t="s">
        <v>748</v>
      </c>
      <c r="Q316" s="308" t="s">
        <v>748</v>
      </c>
      <c r="R316" s="308" t="s">
        <v>748</v>
      </c>
      <c r="S316" s="308">
        <v>139</v>
      </c>
      <c r="T316" s="308" t="s">
        <v>749</v>
      </c>
      <c r="U316" s="308" t="s">
        <v>750</v>
      </c>
      <c r="V316" s="308" t="s">
        <v>751</v>
      </c>
      <c r="W316" s="308">
        <f>SUM(B316:S316)</f>
        <v>139</v>
      </c>
      <c r="X316" s="308">
        <f t="shared" si="0"/>
        <v>0</v>
      </c>
      <c r="Y316" s="485" t="s">
        <v>498</v>
      </c>
      <c r="Z316" s="485" t="s">
        <v>498</v>
      </c>
      <c r="AA316" s="485" t="s">
        <v>498</v>
      </c>
      <c r="AB316" s="304"/>
      <c r="AC316" s="304"/>
    </row>
    <row r="317" spans="1:30" customFormat="1" ht="15">
      <c r="A317" s="311" t="s">
        <v>663</v>
      </c>
      <c r="B317" s="312"/>
      <c r="C317" s="308"/>
      <c r="D317" s="308"/>
      <c r="E317" s="308"/>
      <c r="F317" s="308"/>
      <c r="G317" s="308"/>
      <c r="H317" s="320">
        <v>6799</v>
      </c>
      <c r="I317" s="308"/>
      <c r="J317" s="308"/>
      <c r="K317" s="308"/>
      <c r="L317" s="308"/>
      <c r="M317" s="308"/>
      <c r="N317" s="308"/>
      <c r="O317" s="308" t="s">
        <v>747</v>
      </c>
      <c r="P317" s="308" t="s">
        <v>748</v>
      </c>
      <c r="Q317" s="308" t="s">
        <v>748</v>
      </c>
      <c r="R317" s="308" t="s">
        <v>748</v>
      </c>
      <c r="S317" s="308" t="s">
        <v>748</v>
      </c>
      <c r="T317" s="308" t="s">
        <v>749</v>
      </c>
      <c r="U317" s="308" t="s">
        <v>750</v>
      </c>
      <c r="V317" s="308" t="s">
        <v>751</v>
      </c>
      <c r="W317" s="308">
        <f>SUM(B317:S317)</f>
        <v>6799</v>
      </c>
      <c r="X317" s="308">
        <f t="shared" si="0"/>
        <v>0</v>
      </c>
      <c r="Y317" s="485" t="s">
        <v>498</v>
      </c>
      <c r="Z317" s="485" t="s">
        <v>498</v>
      </c>
      <c r="AA317" s="485" t="s">
        <v>498</v>
      </c>
      <c r="AB317" s="304"/>
      <c r="AC317" s="304"/>
    </row>
    <row r="318" spans="1:30" customFormat="1" ht="15">
      <c r="A318" s="311" t="s">
        <v>664</v>
      </c>
      <c r="B318" s="312"/>
      <c r="C318" s="308"/>
      <c r="D318" s="308"/>
      <c r="E318" s="308"/>
      <c r="F318" s="308"/>
      <c r="G318" s="308"/>
      <c r="H318" s="308"/>
      <c r="I318" s="308"/>
      <c r="J318" s="308"/>
      <c r="K318" s="308"/>
      <c r="L318" s="308"/>
      <c r="M318" s="308"/>
      <c r="N318" s="308"/>
      <c r="O318" s="308" t="s">
        <v>747</v>
      </c>
      <c r="P318" s="308" t="s">
        <v>748</v>
      </c>
      <c r="Q318" s="308" t="s">
        <v>748</v>
      </c>
      <c r="R318" s="308" t="s">
        <v>748</v>
      </c>
      <c r="S318" s="308">
        <v>97</v>
      </c>
      <c r="T318" s="308" t="s">
        <v>749</v>
      </c>
      <c r="U318" s="308" t="s">
        <v>750</v>
      </c>
      <c r="V318" s="308" t="s">
        <v>751</v>
      </c>
      <c r="W318" s="308">
        <f>SUM(B318:S318)</f>
        <v>97</v>
      </c>
      <c r="X318" s="308">
        <f t="shared" si="0"/>
        <v>0</v>
      </c>
      <c r="Y318" s="485" t="s">
        <v>498</v>
      </c>
      <c r="Z318" s="485" t="s">
        <v>498</v>
      </c>
      <c r="AA318" s="485" t="s">
        <v>498</v>
      </c>
      <c r="AB318" s="304"/>
      <c r="AC318" s="304"/>
    </row>
    <row r="319" spans="1:30" customFormat="1" ht="15">
      <c r="A319" s="311" t="s">
        <v>665</v>
      </c>
      <c r="B319" s="312"/>
      <c r="C319" s="308"/>
      <c r="D319" s="320">
        <v>4202</v>
      </c>
      <c r="E319" s="308"/>
      <c r="F319" s="308"/>
      <c r="G319" s="308"/>
      <c r="H319" s="308"/>
      <c r="I319" s="308"/>
      <c r="J319" s="308"/>
      <c r="K319" s="308"/>
      <c r="L319" s="308"/>
      <c r="M319" s="308"/>
      <c r="N319" s="308"/>
      <c r="O319" s="308" t="s">
        <v>747</v>
      </c>
      <c r="P319" s="308" t="s">
        <v>748</v>
      </c>
      <c r="Q319" s="320">
        <v>69276</v>
      </c>
      <c r="R319" s="308" t="s">
        <v>748</v>
      </c>
      <c r="S319" s="308" t="s">
        <v>748</v>
      </c>
      <c r="T319" s="308" t="s">
        <v>749</v>
      </c>
      <c r="U319" s="308" t="s">
        <v>750</v>
      </c>
      <c r="V319" s="308" t="s">
        <v>751</v>
      </c>
      <c r="W319" s="308">
        <f>SUM(B319:S319)</f>
        <v>73478</v>
      </c>
      <c r="X319" s="308">
        <f t="shared" si="0"/>
        <v>0</v>
      </c>
      <c r="Y319" s="485" t="s">
        <v>498</v>
      </c>
      <c r="Z319" s="485" t="s">
        <v>498</v>
      </c>
      <c r="AA319" s="485" t="s">
        <v>498</v>
      </c>
      <c r="AB319" s="304"/>
      <c r="AC319" s="304"/>
    </row>
    <row r="320" spans="1:30" customFormat="1" ht="15">
      <c r="A320" s="311" t="s">
        <v>666</v>
      </c>
      <c r="B320" s="312"/>
      <c r="C320" s="308"/>
      <c r="D320" s="308"/>
      <c r="E320" s="308"/>
      <c r="F320" s="308"/>
      <c r="G320" s="308"/>
      <c r="H320" s="308">
        <v>291</v>
      </c>
      <c r="I320" s="308"/>
      <c r="J320" s="308"/>
      <c r="K320" s="308"/>
      <c r="L320" s="308"/>
      <c r="M320" s="308"/>
      <c r="N320" s="308"/>
      <c r="O320" s="308" t="s">
        <v>747</v>
      </c>
      <c r="P320" s="308" t="s">
        <v>748</v>
      </c>
      <c r="Q320" s="308" t="s">
        <v>748</v>
      </c>
      <c r="R320" s="308" t="s">
        <v>748</v>
      </c>
      <c r="S320" s="308" t="s">
        <v>748</v>
      </c>
      <c r="T320" s="308" t="s">
        <v>749</v>
      </c>
      <c r="U320" s="308" t="s">
        <v>750</v>
      </c>
      <c r="V320" s="308" t="s">
        <v>751</v>
      </c>
      <c r="W320" s="308">
        <f>SUM(B320:S320)</f>
        <v>291</v>
      </c>
      <c r="X320" s="308">
        <f t="shared" si="0"/>
        <v>0</v>
      </c>
      <c r="Y320" s="485" t="s">
        <v>498</v>
      </c>
      <c r="Z320" s="485" t="s">
        <v>498</v>
      </c>
      <c r="AA320" s="485" t="s">
        <v>498</v>
      </c>
      <c r="AB320" s="304"/>
      <c r="AC320" s="304"/>
    </row>
    <row r="321" spans="1:29" customFormat="1" ht="15">
      <c r="A321" s="311" t="s">
        <v>667</v>
      </c>
      <c r="B321" s="312"/>
      <c r="C321" s="308"/>
      <c r="D321" s="308"/>
      <c r="E321" s="308"/>
      <c r="F321" s="308"/>
      <c r="G321" s="308"/>
      <c r="H321" s="308">
        <v>282</v>
      </c>
      <c r="I321" s="308"/>
      <c r="J321" s="308"/>
      <c r="K321" s="308"/>
      <c r="L321" s="308"/>
      <c r="M321" s="308"/>
      <c r="N321" s="308"/>
      <c r="O321" s="308" t="s">
        <v>747</v>
      </c>
      <c r="P321" s="308" t="s">
        <v>748</v>
      </c>
      <c r="Q321" s="308" t="s">
        <v>748</v>
      </c>
      <c r="R321" s="308" t="s">
        <v>748</v>
      </c>
      <c r="S321" s="308" t="s">
        <v>748</v>
      </c>
      <c r="T321" s="308" t="s">
        <v>749</v>
      </c>
      <c r="U321" s="308" t="s">
        <v>750</v>
      </c>
      <c r="V321" s="308" t="s">
        <v>751</v>
      </c>
      <c r="W321" s="308">
        <f>SUM(B321:S321)</f>
        <v>282</v>
      </c>
      <c r="X321" s="308">
        <f t="shared" si="0"/>
        <v>0</v>
      </c>
      <c r="Y321" s="485" t="s">
        <v>498</v>
      </c>
      <c r="Z321" s="485" t="s">
        <v>498</v>
      </c>
      <c r="AA321" s="485" t="s">
        <v>498</v>
      </c>
      <c r="AB321" s="304"/>
      <c r="AC321" s="304"/>
    </row>
    <row r="322" spans="1:29" customFormat="1" ht="15">
      <c r="A322" s="311" t="s">
        <v>668</v>
      </c>
      <c r="B322" s="312"/>
      <c r="C322" s="308"/>
      <c r="D322" s="308"/>
      <c r="E322" s="308"/>
      <c r="F322" s="308"/>
      <c r="G322" s="308"/>
      <c r="H322" s="320">
        <v>8683</v>
      </c>
      <c r="I322" s="308"/>
      <c r="J322" s="308"/>
      <c r="K322" s="308"/>
      <c r="L322" s="308"/>
      <c r="M322" s="308"/>
      <c r="N322" s="308"/>
      <c r="O322" s="308" t="s">
        <v>747</v>
      </c>
      <c r="P322" s="308" t="s">
        <v>748</v>
      </c>
      <c r="Q322" s="308" t="s">
        <v>748</v>
      </c>
      <c r="R322" s="308" t="s">
        <v>748</v>
      </c>
      <c r="S322" s="308" t="s">
        <v>748</v>
      </c>
      <c r="T322" s="308" t="s">
        <v>749</v>
      </c>
      <c r="U322" s="308" t="s">
        <v>750</v>
      </c>
      <c r="V322" s="308" t="s">
        <v>751</v>
      </c>
      <c r="W322" s="308">
        <f>SUM(B322:S322)</f>
        <v>8683</v>
      </c>
      <c r="X322" s="308">
        <f t="shared" si="0"/>
        <v>0</v>
      </c>
      <c r="Y322" s="485" t="s">
        <v>498</v>
      </c>
      <c r="Z322" s="485" t="s">
        <v>498</v>
      </c>
      <c r="AA322" s="485" t="s">
        <v>498</v>
      </c>
      <c r="AB322" s="304"/>
      <c r="AC322" s="304"/>
    </row>
    <row r="323" spans="1:29" customFormat="1" ht="15">
      <c r="A323" s="311" t="s">
        <v>669</v>
      </c>
      <c r="B323" s="312"/>
      <c r="C323" s="308"/>
      <c r="D323" s="308"/>
      <c r="E323" s="308"/>
      <c r="F323" s="308"/>
      <c r="G323" s="308"/>
      <c r="H323" s="320">
        <v>5723</v>
      </c>
      <c r="I323" s="308"/>
      <c r="J323" s="308"/>
      <c r="K323" s="308"/>
      <c r="L323" s="308"/>
      <c r="M323" s="308"/>
      <c r="N323" s="308"/>
      <c r="O323" s="308" t="s">
        <v>747</v>
      </c>
      <c r="P323" s="308" t="s">
        <v>748</v>
      </c>
      <c r="Q323" s="308" t="s">
        <v>748</v>
      </c>
      <c r="R323" s="308" t="s">
        <v>748</v>
      </c>
      <c r="S323" s="308" t="s">
        <v>748</v>
      </c>
      <c r="T323" s="308" t="s">
        <v>749</v>
      </c>
      <c r="U323" s="308" t="s">
        <v>750</v>
      </c>
      <c r="V323" s="308" t="s">
        <v>751</v>
      </c>
      <c r="W323" s="308">
        <f>SUM(B323:S323)</f>
        <v>5723</v>
      </c>
      <c r="X323" s="308">
        <f t="shared" si="0"/>
        <v>0</v>
      </c>
      <c r="Y323" s="485" t="s">
        <v>498</v>
      </c>
      <c r="Z323" s="485" t="s">
        <v>498</v>
      </c>
      <c r="AA323" s="485" t="s">
        <v>498</v>
      </c>
      <c r="AB323" s="304"/>
      <c r="AC323" s="304"/>
    </row>
    <row r="324" spans="1:29" customFormat="1" ht="15">
      <c r="A324" s="311" t="s">
        <v>670</v>
      </c>
      <c r="B324" s="312"/>
      <c r="C324" s="308"/>
      <c r="D324" s="308"/>
      <c r="E324" s="308"/>
      <c r="F324" s="308"/>
      <c r="G324" s="308"/>
      <c r="H324" s="308">
        <v>667</v>
      </c>
      <c r="I324" s="308"/>
      <c r="J324" s="308"/>
      <c r="K324" s="308"/>
      <c r="L324" s="308"/>
      <c r="M324" s="308"/>
      <c r="N324" s="308"/>
      <c r="O324" s="308" t="s">
        <v>747</v>
      </c>
      <c r="P324" s="308" t="s">
        <v>748</v>
      </c>
      <c r="Q324" s="308" t="s">
        <v>748</v>
      </c>
      <c r="R324" s="308" t="s">
        <v>748</v>
      </c>
      <c r="S324" s="308" t="s">
        <v>748</v>
      </c>
      <c r="T324" s="308" t="s">
        <v>749</v>
      </c>
      <c r="U324" s="308" t="s">
        <v>750</v>
      </c>
      <c r="V324" s="308" t="s">
        <v>751</v>
      </c>
      <c r="W324" s="308">
        <f>SUM(B324:S324)</f>
        <v>667</v>
      </c>
      <c r="X324" s="308">
        <f t="shared" si="0"/>
        <v>0</v>
      </c>
      <c r="Y324" s="485" t="s">
        <v>498</v>
      </c>
      <c r="Z324" s="485" t="s">
        <v>498</v>
      </c>
      <c r="AA324" s="485" t="s">
        <v>498</v>
      </c>
      <c r="AB324" s="304"/>
      <c r="AC324" s="304"/>
    </row>
    <row r="325" spans="1:29" customFormat="1" ht="15">
      <c r="A325" s="311" t="s">
        <v>671</v>
      </c>
      <c r="B325" s="312"/>
      <c r="C325" s="308"/>
      <c r="D325" s="308"/>
      <c r="E325" s="308"/>
      <c r="F325" s="308"/>
      <c r="G325" s="308"/>
      <c r="H325" s="308"/>
      <c r="I325" s="308"/>
      <c r="J325" s="308"/>
      <c r="K325" s="308"/>
      <c r="L325" s="308"/>
      <c r="M325" s="308"/>
      <c r="N325" s="308"/>
      <c r="O325" s="308" t="s">
        <v>747</v>
      </c>
      <c r="P325" s="308" t="s">
        <v>748</v>
      </c>
      <c r="Q325" s="308">
        <v>605</v>
      </c>
      <c r="R325" s="308" t="s">
        <v>748</v>
      </c>
      <c r="S325" s="308" t="s">
        <v>748</v>
      </c>
      <c r="T325" s="308" t="s">
        <v>749</v>
      </c>
      <c r="U325" s="308" t="s">
        <v>750</v>
      </c>
      <c r="V325" s="308" t="s">
        <v>751</v>
      </c>
      <c r="W325" s="308">
        <f>SUM(B325:S325)</f>
        <v>605</v>
      </c>
      <c r="X325" s="308">
        <f t="shared" si="0"/>
        <v>0</v>
      </c>
      <c r="Y325" s="485" t="s">
        <v>498</v>
      </c>
      <c r="Z325" s="485" t="s">
        <v>498</v>
      </c>
      <c r="AA325" s="485" t="s">
        <v>498</v>
      </c>
      <c r="AB325" s="304"/>
      <c r="AC325" s="304"/>
    </row>
    <row r="326" spans="1:29" customFormat="1" ht="15">
      <c r="A326" s="311" t="s">
        <v>672</v>
      </c>
      <c r="B326" s="312"/>
      <c r="C326" s="308"/>
      <c r="D326" s="308"/>
      <c r="E326" s="308"/>
      <c r="F326" s="308"/>
      <c r="G326" s="308"/>
      <c r="H326" s="308">
        <v>380</v>
      </c>
      <c r="I326" s="308"/>
      <c r="J326" s="308"/>
      <c r="K326" s="308"/>
      <c r="L326" s="308"/>
      <c r="M326" s="308"/>
      <c r="N326" s="308"/>
      <c r="O326" s="308" t="s">
        <v>747</v>
      </c>
      <c r="P326" s="308" t="s">
        <v>748</v>
      </c>
      <c r="Q326" s="308" t="s">
        <v>748</v>
      </c>
      <c r="R326" s="308" t="s">
        <v>748</v>
      </c>
      <c r="S326" s="308" t="s">
        <v>748</v>
      </c>
      <c r="T326" s="308" t="s">
        <v>749</v>
      </c>
      <c r="U326" s="308" t="s">
        <v>750</v>
      </c>
      <c r="V326" s="308" t="s">
        <v>751</v>
      </c>
      <c r="W326" s="308">
        <f>SUM(B326:S326)</f>
        <v>380</v>
      </c>
      <c r="X326" s="308">
        <f t="shared" si="0"/>
        <v>0</v>
      </c>
      <c r="Y326" s="485" t="s">
        <v>498</v>
      </c>
      <c r="Z326" s="485" t="s">
        <v>498</v>
      </c>
      <c r="AA326" s="485" t="s">
        <v>498</v>
      </c>
      <c r="AB326" s="304"/>
      <c r="AC326" s="304"/>
    </row>
    <row r="327" spans="1:29" customFormat="1" ht="15">
      <c r="A327" s="311" t="s">
        <v>673</v>
      </c>
      <c r="B327" s="312"/>
      <c r="C327" s="308"/>
      <c r="D327" s="308"/>
      <c r="E327" s="308"/>
      <c r="F327" s="308"/>
      <c r="G327" s="308"/>
      <c r="H327" s="308"/>
      <c r="I327" s="308"/>
      <c r="J327" s="308"/>
      <c r="K327" s="308"/>
      <c r="L327" s="308"/>
      <c r="M327" s="308"/>
      <c r="N327" s="308"/>
      <c r="O327" s="308" t="s">
        <v>747</v>
      </c>
      <c r="P327" s="308" t="s">
        <v>748</v>
      </c>
      <c r="Q327" s="308" t="s">
        <v>748</v>
      </c>
      <c r="R327" s="308" t="s">
        <v>748</v>
      </c>
      <c r="S327" s="308">
        <v>970</v>
      </c>
      <c r="T327" s="308" t="s">
        <v>749</v>
      </c>
      <c r="U327" s="308" t="s">
        <v>750</v>
      </c>
      <c r="V327" s="308" t="s">
        <v>751</v>
      </c>
      <c r="W327" s="308">
        <f>SUM(B327:S327)</f>
        <v>970</v>
      </c>
      <c r="X327" s="308">
        <f t="shared" si="0"/>
        <v>0</v>
      </c>
      <c r="Y327" s="485" t="s">
        <v>498</v>
      </c>
      <c r="Z327" s="485" t="s">
        <v>498</v>
      </c>
      <c r="AA327" s="485" t="s">
        <v>498</v>
      </c>
      <c r="AB327" s="304"/>
      <c r="AC327" s="304"/>
    </row>
    <row r="328" spans="1:29" customFormat="1" ht="15">
      <c r="A328" s="311" t="s">
        <v>674</v>
      </c>
      <c r="B328" s="312"/>
      <c r="C328" s="308"/>
      <c r="D328" s="308"/>
      <c r="E328" s="308"/>
      <c r="F328" s="308"/>
      <c r="G328" s="308"/>
      <c r="H328" s="308"/>
      <c r="I328" s="308"/>
      <c r="J328" s="308"/>
      <c r="K328" s="308"/>
      <c r="L328" s="308"/>
      <c r="M328" s="308"/>
      <c r="N328" s="308"/>
      <c r="O328" s="308" t="s">
        <v>747</v>
      </c>
      <c r="P328" s="308" t="s">
        <v>748</v>
      </c>
      <c r="Q328" s="308">
        <v>502</v>
      </c>
      <c r="R328" s="308" t="s">
        <v>748</v>
      </c>
      <c r="S328" s="308" t="s">
        <v>748</v>
      </c>
      <c r="T328" s="308" t="s">
        <v>749</v>
      </c>
      <c r="U328" s="308" t="s">
        <v>750</v>
      </c>
      <c r="V328" s="308" t="s">
        <v>751</v>
      </c>
      <c r="W328" s="308">
        <f>SUM(B328:S328)</f>
        <v>502</v>
      </c>
      <c r="X328" s="308">
        <f t="shared" si="0"/>
        <v>0</v>
      </c>
      <c r="Y328" s="485" t="s">
        <v>498</v>
      </c>
      <c r="Z328" s="485" t="s">
        <v>498</v>
      </c>
      <c r="AA328" s="485" t="s">
        <v>498</v>
      </c>
      <c r="AB328" s="304"/>
      <c r="AC328" s="304"/>
    </row>
    <row r="329" spans="1:29" customFormat="1" ht="15">
      <c r="A329" s="311" t="s">
        <v>675</v>
      </c>
      <c r="B329" s="312"/>
      <c r="C329" s="308"/>
      <c r="D329" s="308"/>
      <c r="E329" s="308"/>
      <c r="F329" s="308"/>
      <c r="G329" s="308"/>
      <c r="H329" s="308">
        <v>633</v>
      </c>
      <c r="I329" s="308"/>
      <c r="J329" s="308"/>
      <c r="K329" s="308"/>
      <c r="L329" s="308"/>
      <c r="M329" s="308"/>
      <c r="N329" s="308"/>
      <c r="O329" s="308" t="s">
        <v>747</v>
      </c>
      <c r="P329" s="308" t="s">
        <v>748</v>
      </c>
      <c r="Q329" s="308" t="s">
        <v>748</v>
      </c>
      <c r="R329" s="308" t="s">
        <v>748</v>
      </c>
      <c r="S329" s="308" t="s">
        <v>748</v>
      </c>
      <c r="T329" s="308" t="s">
        <v>749</v>
      </c>
      <c r="U329" s="308" t="s">
        <v>750</v>
      </c>
      <c r="V329" s="308" t="s">
        <v>751</v>
      </c>
      <c r="W329" s="308">
        <f>SUM(B329:S329)</f>
        <v>633</v>
      </c>
      <c r="X329" s="308">
        <f t="shared" si="0"/>
        <v>0</v>
      </c>
      <c r="Y329" s="485" t="s">
        <v>498</v>
      </c>
      <c r="Z329" s="485" t="s">
        <v>498</v>
      </c>
      <c r="AA329" s="485" t="s">
        <v>498</v>
      </c>
      <c r="AB329" s="304"/>
      <c r="AC329" s="304"/>
    </row>
    <row r="330" spans="1:29" customFormat="1" ht="15">
      <c r="A330" s="311" t="s">
        <v>676</v>
      </c>
      <c r="B330" s="312"/>
      <c r="C330" s="308"/>
      <c r="D330" s="308"/>
      <c r="E330" s="308"/>
      <c r="F330" s="308"/>
      <c r="G330" s="308"/>
      <c r="H330" s="308"/>
      <c r="I330" s="308"/>
      <c r="J330" s="308"/>
      <c r="K330" s="308"/>
      <c r="L330" s="308"/>
      <c r="M330" s="308"/>
      <c r="N330" s="308"/>
      <c r="O330" s="308" t="s">
        <v>747</v>
      </c>
      <c r="P330" s="308" t="s">
        <v>748</v>
      </c>
      <c r="Q330" s="308" t="s">
        <v>748</v>
      </c>
      <c r="R330" s="320">
        <v>1144</v>
      </c>
      <c r="S330" s="308" t="s">
        <v>748</v>
      </c>
      <c r="T330" s="308" t="s">
        <v>721</v>
      </c>
      <c r="U330" s="308" t="s">
        <v>721</v>
      </c>
      <c r="V330" s="308" t="s">
        <v>721</v>
      </c>
      <c r="W330" s="308">
        <f>SUM(B330:S330)</f>
        <v>1144</v>
      </c>
      <c r="X330" s="308">
        <f t="shared" si="0"/>
        <v>0</v>
      </c>
      <c r="Y330" s="485" t="s">
        <v>498</v>
      </c>
      <c r="Z330" s="485" t="s">
        <v>498</v>
      </c>
      <c r="AA330" s="485" t="s">
        <v>498</v>
      </c>
      <c r="AB330" s="304"/>
      <c r="AC330" s="304"/>
    </row>
    <row r="331" spans="1:29" customFormat="1" ht="15">
      <c r="A331" s="311" t="s">
        <v>677</v>
      </c>
      <c r="B331" s="312"/>
      <c r="C331" s="308"/>
      <c r="D331" s="308"/>
      <c r="E331" s="308"/>
      <c r="F331" s="308"/>
      <c r="G331" s="308"/>
      <c r="H331" s="320">
        <v>5359</v>
      </c>
      <c r="I331" s="308"/>
      <c r="J331" s="308"/>
      <c r="K331" s="308"/>
      <c r="L331" s="308"/>
      <c r="M331" s="308"/>
      <c r="N331" s="308"/>
      <c r="O331" s="308" t="s">
        <v>747</v>
      </c>
      <c r="P331" s="308" t="s">
        <v>748</v>
      </c>
      <c r="Q331" s="308" t="s">
        <v>748</v>
      </c>
      <c r="R331" s="308" t="s">
        <v>748</v>
      </c>
      <c r="S331" s="308" t="s">
        <v>748</v>
      </c>
      <c r="T331" s="308" t="s">
        <v>749</v>
      </c>
      <c r="U331" s="308" t="s">
        <v>750</v>
      </c>
      <c r="V331" s="308" t="s">
        <v>751</v>
      </c>
      <c r="W331" s="308">
        <f>SUM(B331:S331)</f>
        <v>5359</v>
      </c>
      <c r="X331" s="308">
        <f t="shared" si="0"/>
        <v>0</v>
      </c>
      <c r="Y331" s="485" t="s">
        <v>498</v>
      </c>
      <c r="Z331" s="485" t="s">
        <v>498</v>
      </c>
      <c r="AA331" s="485" t="s">
        <v>498</v>
      </c>
      <c r="AB331" s="304"/>
      <c r="AC331" s="304"/>
    </row>
    <row r="332" spans="1:29" customFormat="1" ht="15">
      <c r="A332" s="311" t="s">
        <v>678</v>
      </c>
      <c r="B332" s="312"/>
      <c r="C332" s="308"/>
      <c r="D332" s="308"/>
      <c r="E332" s="308"/>
      <c r="F332" s="308"/>
      <c r="G332" s="308"/>
      <c r="H332" s="308"/>
      <c r="I332" s="308"/>
      <c r="J332" s="320">
        <v>4568</v>
      </c>
      <c r="K332" s="308">
        <v>156</v>
      </c>
      <c r="L332" s="320">
        <v>3833</v>
      </c>
      <c r="M332" s="320">
        <v>67</v>
      </c>
      <c r="N332" s="320">
        <v>1377</v>
      </c>
      <c r="O332" s="308" t="s">
        <v>747</v>
      </c>
      <c r="P332" s="308" t="s">
        <v>748</v>
      </c>
      <c r="Q332" s="308" t="s">
        <v>748</v>
      </c>
      <c r="R332" s="308" t="s">
        <v>748</v>
      </c>
      <c r="S332" s="308" t="s">
        <v>748</v>
      </c>
      <c r="T332" s="308" t="s">
        <v>749</v>
      </c>
      <c r="U332" s="308" t="s">
        <v>750</v>
      </c>
      <c r="V332" s="320">
        <v>5191</v>
      </c>
      <c r="W332" s="308">
        <f>SUM(B332:S332)</f>
        <v>10001</v>
      </c>
      <c r="X332" s="308">
        <f t="shared" si="0"/>
        <v>5191</v>
      </c>
      <c r="Y332" s="485" t="s">
        <v>498</v>
      </c>
      <c r="Z332" s="485" t="s">
        <v>498</v>
      </c>
      <c r="AA332" s="485" t="s">
        <v>498</v>
      </c>
      <c r="AB332" s="304"/>
      <c r="AC332" s="304"/>
    </row>
    <row r="333" spans="1:29" customFormat="1" ht="15">
      <c r="A333" s="311" t="s">
        <v>679</v>
      </c>
      <c r="B333" s="312"/>
      <c r="C333" s="308"/>
      <c r="D333" s="308"/>
      <c r="E333" s="308"/>
      <c r="F333" s="308"/>
      <c r="G333" s="308"/>
      <c r="H333" s="308"/>
      <c r="I333" s="308"/>
      <c r="J333" s="308"/>
      <c r="K333" s="308" t="s">
        <v>721</v>
      </c>
      <c r="L333" s="308" t="s">
        <v>721</v>
      </c>
      <c r="M333" s="308"/>
      <c r="N333" s="308"/>
      <c r="O333" s="308" t="s">
        <v>747</v>
      </c>
      <c r="P333" s="308" t="s">
        <v>748</v>
      </c>
      <c r="Q333" s="320">
        <v>1294</v>
      </c>
      <c r="R333" s="308" t="s">
        <v>748</v>
      </c>
      <c r="S333" s="308" t="s">
        <v>748</v>
      </c>
      <c r="T333" s="308" t="s">
        <v>749</v>
      </c>
      <c r="U333" s="308" t="s">
        <v>750</v>
      </c>
      <c r="V333" s="308" t="s">
        <v>751</v>
      </c>
      <c r="W333" s="308">
        <f>SUM(B333:S333)</f>
        <v>1294</v>
      </c>
      <c r="X333" s="308">
        <f t="shared" si="0"/>
        <v>0</v>
      </c>
      <c r="Y333" s="485" t="s">
        <v>498</v>
      </c>
      <c r="Z333" s="485" t="s">
        <v>498</v>
      </c>
      <c r="AA333" s="485" t="s">
        <v>498</v>
      </c>
      <c r="AB333" s="304"/>
      <c r="AC333" s="304"/>
    </row>
    <row r="334" spans="1:29" customFormat="1" ht="15">
      <c r="A334" s="311" t="s">
        <v>680</v>
      </c>
      <c r="B334" s="312"/>
      <c r="C334" s="308"/>
      <c r="D334" s="308">
        <v>845</v>
      </c>
      <c r="E334" s="308"/>
      <c r="F334" s="308"/>
      <c r="G334" s="308"/>
      <c r="H334" s="308"/>
      <c r="I334" s="308"/>
      <c r="J334" s="308"/>
      <c r="K334" s="308" t="s">
        <v>721</v>
      </c>
      <c r="L334" s="308" t="s">
        <v>721</v>
      </c>
      <c r="M334" s="308"/>
      <c r="N334" s="308"/>
      <c r="O334" s="308" t="s">
        <v>747</v>
      </c>
      <c r="P334" s="308" t="s">
        <v>748</v>
      </c>
      <c r="Q334" s="308" t="s">
        <v>748</v>
      </c>
      <c r="R334" s="308" t="s">
        <v>748</v>
      </c>
      <c r="S334" s="320">
        <v>7349</v>
      </c>
      <c r="T334" s="308" t="s">
        <v>749</v>
      </c>
      <c r="U334" s="308" t="s">
        <v>750</v>
      </c>
      <c r="V334" s="308" t="s">
        <v>751</v>
      </c>
      <c r="W334" s="308">
        <f>SUM(B334:S334)</f>
        <v>8194</v>
      </c>
      <c r="X334" s="308">
        <f t="shared" si="0"/>
        <v>0</v>
      </c>
      <c r="Y334" s="485" t="s">
        <v>498</v>
      </c>
      <c r="Z334" s="485" t="s">
        <v>498</v>
      </c>
      <c r="AA334" s="485" t="s">
        <v>498</v>
      </c>
      <c r="AB334" s="304"/>
      <c r="AC334" s="304"/>
    </row>
    <row r="335" spans="1:29" customFormat="1" ht="15">
      <c r="A335" s="311" t="s">
        <v>681</v>
      </c>
      <c r="B335" s="312"/>
      <c r="C335" s="308"/>
      <c r="D335" s="308"/>
      <c r="E335" s="308"/>
      <c r="F335" s="308"/>
      <c r="G335" s="308"/>
      <c r="H335" s="320">
        <v>8457</v>
      </c>
      <c r="I335" s="308"/>
      <c r="J335" s="308"/>
      <c r="K335" s="308" t="s">
        <v>721</v>
      </c>
      <c r="L335" s="308" t="s">
        <v>721</v>
      </c>
      <c r="M335" s="308"/>
      <c r="N335" s="308"/>
      <c r="O335" s="308" t="s">
        <v>747</v>
      </c>
      <c r="P335" s="308" t="s">
        <v>748</v>
      </c>
      <c r="Q335" s="308" t="s">
        <v>748</v>
      </c>
      <c r="R335" s="308" t="s">
        <v>748</v>
      </c>
      <c r="S335" s="308" t="s">
        <v>748</v>
      </c>
      <c r="T335" s="308" t="s">
        <v>749</v>
      </c>
      <c r="U335" s="308" t="s">
        <v>750</v>
      </c>
      <c r="V335" s="308" t="s">
        <v>751</v>
      </c>
      <c r="W335" s="308">
        <f>SUM(B335:S335)</f>
        <v>8457</v>
      </c>
      <c r="X335" s="308">
        <f t="shared" si="0"/>
        <v>0</v>
      </c>
      <c r="Y335" s="485" t="s">
        <v>498</v>
      </c>
      <c r="Z335" s="485" t="s">
        <v>498</v>
      </c>
      <c r="AA335" s="485" t="s">
        <v>498</v>
      </c>
      <c r="AB335" s="304"/>
      <c r="AC335" s="304"/>
    </row>
    <row r="336" spans="1:29" customFormat="1" ht="15">
      <c r="A336" s="311" t="s">
        <v>682</v>
      </c>
      <c r="B336" s="312"/>
      <c r="C336" s="308"/>
      <c r="D336" s="308"/>
      <c r="E336" s="308"/>
      <c r="F336" s="308"/>
      <c r="G336" s="308"/>
      <c r="H336" s="308"/>
      <c r="I336" s="308"/>
      <c r="J336" s="308"/>
      <c r="K336" s="308" t="s">
        <v>721</v>
      </c>
      <c r="L336" s="308" t="s">
        <v>721</v>
      </c>
      <c r="M336" s="308"/>
      <c r="N336" s="308"/>
      <c r="O336" s="308" t="s">
        <v>747</v>
      </c>
      <c r="P336" s="308" t="s">
        <v>748</v>
      </c>
      <c r="Q336" s="308" t="s">
        <v>748</v>
      </c>
      <c r="R336" s="308" t="s">
        <v>748</v>
      </c>
      <c r="S336" s="308" t="s">
        <v>748</v>
      </c>
      <c r="T336" s="308">
        <v>481</v>
      </c>
      <c r="U336" s="308" t="s">
        <v>750</v>
      </c>
      <c r="V336" s="308" t="s">
        <v>751</v>
      </c>
      <c r="W336" s="308">
        <f>SUM(B336:S336)</f>
        <v>0</v>
      </c>
      <c r="X336" s="308">
        <f t="shared" si="0"/>
        <v>481</v>
      </c>
      <c r="Y336" s="485" t="s">
        <v>498</v>
      </c>
      <c r="Z336" s="485" t="s">
        <v>498</v>
      </c>
      <c r="AA336" s="485" t="s">
        <v>498</v>
      </c>
      <c r="AB336" s="304"/>
      <c r="AC336" s="323"/>
    </row>
    <row r="337" spans="1:29" customFormat="1" ht="15">
      <c r="A337" s="311" t="s">
        <v>683</v>
      </c>
      <c r="B337" s="312"/>
      <c r="C337" s="308"/>
      <c r="D337" s="308"/>
      <c r="E337" s="308"/>
      <c r="F337" s="308"/>
      <c r="G337" s="308"/>
      <c r="H337" s="308">
        <v>140</v>
      </c>
      <c r="I337" s="308"/>
      <c r="J337" s="308"/>
      <c r="K337" s="308" t="s">
        <v>721</v>
      </c>
      <c r="L337" s="308" t="s">
        <v>721</v>
      </c>
      <c r="M337" s="308"/>
      <c r="N337" s="308"/>
      <c r="O337" s="308" t="s">
        <v>747</v>
      </c>
      <c r="P337" s="308" t="s">
        <v>748</v>
      </c>
      <c r="Q337" s="308" t="s">
        <v>748</v>
      </c>
      <c r="R337" s="308" t="s">
        <v>748</v>
      </c>
      <c r="S337" s="308" t="s">
        <v>748</v>
      </c>
      <c r="T337" s="308" t="s">
        <v>749</v>
      </c>
      <c r="U337" s="308" t="s">
        <v>750</v>
      </c>
      <c r="V337" s="308" t="s">
        <v>751</v>
      </c>
      <c r="W337" s="308">
        <f>SUM(B337:S337)</f>
        <v>140</v>
      </c>
      <c r="X337" s="308">
        <f t="shared" si="0"/>
        <v>0</v>
      </c>
      <c r="Y337" s="485" t="s">
        <v>498</v>
      </c>
      <c r="Z337" s="485" t="s">
        <v>498</v>
      </c>
      <c r="AA337" s="485" t="s">
        <v>498</v>
      </c>
      <c r="AB337" s="304"/>
      <c r="AC337" s="304"/>
    </row>
    <row r="338" spans="1:29" customFormat="1" ht="15">
      <c r="A338" s="311" t="s">
        <v>685</v>
      </c>
      <c r="B338" s="312"/>
      <c r="C338" s="308"/>
      <c r="D338" s="308"/>
      <c r="E338" s="308"/>
      <c r="F338" s="308"/>
      <c r="G338" s="308"/>
      <c r="H338" s="308"/>
      <c r="I338" s="308"/>
      <c r="J338" s="308"/>
      <c r="K338" s="308" t="s">
        <v>721</v>
      </c>
      <c r="L338" s="308" t="s">
        <v>721</v>
      </c>
      <c r="M338" s="308"/>
      <c r="N338" s="308"/>
      <c r="O338" s="308" t="s">
        <v>747</v>
      </c>
      <c r="P338" s="308">
        <v>749</v>
      </c>
      <c r="Q338" s="308" t="s">
        <v>748</v>
      </c>
      <c r="R338" s="308" t="s">
        <v>748</v>
      </c>
      <c r="S338" s="308" t="s">
        <v>748</v>
      </c>
      <c r="T338" s="308">
        <v>58</v>
      </c>
      <c r="U338" s="308" t="s">
        <v>750</v>
      </c>
      <c r="V338" s="308" t="s">
        <v>751</v>
      </c>
      <c r="W338" s="308">
        <f>SUM(B338:S338)</f>
        <v>749</v>
      </c>
      <c r="X338" s="308">
        <f t="shared" si="0"/>
        <v>58</v>
      </c>
      <c r="Y338" s="485" t="s">
        <v>498</v>
      </c>
      <c r="Z338" s="485" t="s">
        <v>498</v>
      </c>
      <c r="AA338" s="485" t="s">
        <v>498</v>
      </c>
      <c r="AB338" s="304"/>
      <c r="AC338" s="304"/>
    </row>
    <row r="339" spans="1:29" customFormat="1" ht="15">
      <c r="A339" s="311" t="s">
        <v>686</v>
      </c>
      <c r="B339" s="312"/>
      <c r="C339" s="308"/>
      <c r="D339" s="308"/>
      <c r="E339" s="308"/>
      <c r="F339" s="308"/>
      <c r="G339" s="308"/>
      <c r="H339" s="320">
        <v>1474</v>
      </c>
      <c r="I339" s="308"/>
      <c r="J339" s="308"/>
      <c r="K339" s="308" t="s">
        <v>721</v>
      </c>
      <c r="L339" s="308" t="s">
        <v>721</v>
      </c>
      <c r="M339" s="308"/>
      <c r="N339" s="308"/>
      <c r="O339" s="308" t="s">
        <v>747</v>
      </c>
      <c r="P339" s="308" t="s">
        <v>748</v>
      </c>
      <c r="Q339" s="308" t="s">
        <v>748</v>
      </c>
      <c r="R339" s="308" t="s">
        <v>748</v>
      </c>
      <c r="S339" s="308" t="s">
        <v>748</v>
      </c>
      <c r="T339" s="308" t="s">
        <v>749</v>
      </c>
      <c r="U339" s="308" t="s">
        <v>750</v>
      </c>
      <c r="V339" s="308" t="s">
        <v>751</v>
      </c>
      <c r="W339" s="308">
        <f>SUM(B339:S339)</f>
        <v>1474</v>
      </c>
      <c r="X339" s="308">
        <f t="shared" si="0"/>
        <v>0</v>
      </c>
      <c r="Y339" s="485" t="s">
        <v>498</v>
      </c>
      <c r="Z339" s="485" t="s">
        <v>498</v>
      </c>
      <c r="AA339" s="485" t="s">
        <v>498</v>
      </c>
      <c r="AB339" s="304"/>
      <c r="AC339" s="304"/>
    </row>
    <row r="340" spans="1:29" customFormat="1" ht="15">
      <c r="A340" s="311" t="s">
        <v>687</v>
      </c>
      <c r="B340" s="312"/>
      <c r="C340" s="308"/>
      <c r="D340" s="308"/>
      <c r="E340" s="308"/>
      <c r="F340" s="308"/>
      <c r="G340" s="308"/>
      <c r="H340" s="308">
        <v>728</v>
      </c>
      <c r="I340" s="308"/>
      <c r="J340" s="308"/>
      <c r="K340" s="308" t="s">
        <v>721</v>
      </c>
      <c r="L340" s="308" t="s">
        <v>721</v>
      </c>
      <c r="M340" s="308"/>
      <c r="N340" s="308"/>
      <c r="O340" s="308" t="s">
        <v>747</v>
      </c>
      <c r="P340" s="308" t="s">
        <v>748</v>
      </c>
      <c r="Q340" s="308" t="s">
        <v>748</v>
      </c>
      <c r="R340" s="308" t="s">
        <v>748</v>
      </c>
      <c r="S340" s="308" t="s">
        <v>748</v>
      </c>
      <c r="T340" s="308" t="s">
        <v>749</v>
      </c>
      <c r="U340" s="308" t="s">
        <v>750</v>
      </c>
      <c r="V340" s="308" t="s">
        <v>751</v>
      </c>
      <c r="W340" s="308">
        <f>SUM(B340:S340)</f>
        <v>728</v>
      </c>
      <c r="X340" s="308">
        <f t="shared" si="0"/>
        <v>0</v>
      </c>
      <c r="Y340" s="485" t="s">
        <v>498</v>
      </c>
      <c r="Z340" s="485" t="s">
        <v>498</v>
      </c>
      <c r="AA340" s="485" t="s">
        <v>498</v>
      </c>
      <c r="AB340" s="304"/>
      <c r="AC340" s="304"/>
    </row>
    <row r="341" spans="1:29" customFormat="1" ht="15">
      <c r="A341" s="311" t="s">
        <v>688</v>
      </c>
      <c r="B341" s="312"/>
      <c r="C341" s="308"/>
      <c r="D341" s="308"/>
      <c r="E341" s="308"/>
      <c r="F341" s="308"/>
      <c r="G341" s="308"/>
      <c r="H341" s="308"/>
      <c r="I341" s="308"/>
      <c r="J341" s="308"/>
      <c r="K341" s="308" t="s">
        <v>721</v>
      </c>
      <c r="L341" s="308" t="s">
        <v>721</v>
      </c>
      <c r="M341" s="308"/>
      <c r="N341" s="308"/>
      <c r="O341" s="308" t="s">
        <v>747</v>
      </c>
      <c r="P341" s="308" t="s">
        <v>748</v>
      </c>
      <c r="Q341" s="308" t="s">
        <v>748</v>
      </c>
      <c r="R341" s="308" t="s">
        <v>748</v>
      </c>
      <c r="S341" s="308" t="s">
        <v>748</v>
      </c>
      <c r="T341" s="308">
        <v>145</v>
      </c>
      <c r="U341" s="308" t="s">
        <v>750</v>
      </c>
      <c r="V341" s="308" t="s">
        <v>751</v>
      </c>
      <c r="W341" s="308">
        <f>SUM(B341:S341)</f>
        <v>0</v>
      </c>
      <c r="X341" s="308">
        <f t="shared" si="0"/>
        <v>145</v>
      </c>
      <c r="Y341" s="485" t="s">
        <v>498</v>
      </c>
      <c r="Z341" s="485" t="s">
        <v>498</v>
      </c>
      <c r="AA341" s="485" t="s">
        <v>498</v>
      </c>
      <c r="AB341" s="304"/>
      <c r="AC341" s="323"/>
    </row>
    <row r="342" spans="1:29" customFormat="1" ht="15">
      <c r="A342" s="311" t="s">
        <v>689</v>
      </c>
      <c r="B342" s="312"/>
      <c r="C342" s="308"/>
      <c r="D342" s="308"/>
      <c r="E342" s="308"/>
      <c r="F342" s="308"/>
      <c r="G342" s="308"/>
      <c r="H342" s="308"/>
      <c r="I342" s="308"/>
      <c r="J342" s="308"/>
      <c r="K342" s="308" t="s">
        <v>721</v>
      </c>
      <c r="L342" s="308" t="s">
        <v>721</v>
      </c>
      <c r="M342" s="308"/>
      <c r="N342" s="308"/>
      <c r="O342" s="308" t="s">
        <v>747</v>
      </c>
      <c r="P342" s="308" t="s">
        <v>748</v>
      </c>
      <c r="Q342" s="308" t="s">
        <v>748</v>
      </c>
      <c r="R342" s="308" t="s">
        <v>748</v>
      </c>
      <c r="S342" s="308" t="s">
        <v>748</v>
      </c>
      <c r="T342" s="308">
        <v>338</v>
      </c>
      <c r="U342" s="320">
        <v>1700</v>
      </c>
      <c r="V342" s="308" t="s">
        <v>751</v>
      </c>
      <c r="W342" s="308">
        <f>SUM(B342:S342)</f>
        <v>0</v>
      </c>
      <c r="X342" s="308">
        <f t="shared" si="0"/>
        <v>2038</v>
      </c>
      <c r="Y342" s="485" t="s">
        <v>498</v>
      </c>
      <c r="Z342" s="485" t="s">
        <v>498</v>
      </c>
      <c r="AA342" s="485" t="s">
        <v>498</v>
      </c>
      <c r="AB342" s="304"/>
      <c r="AC342" s="323"/>
    </row>
    <row r="343" spans="1:29" customFormat="1" ht="15">
      <c r="A343" s="311" t="s">
        <v>690</v>
      </c>
      <c r="B343" s="312"/>
      <c r="C343" s="308"/>
      <c r="D343" s="308"/>
      <c r="E343" s="308"/>
      <c r="F343" s="308"/>
      <c r="G343" s="308"/>
      <c r="H343" s="308"/>
      <c r="I343" s="308"/>
      <c r="J343" s="308"/>
      <c r="K343" s="308" t="s">
        <v>721</v>
      </c>
      <c r="L343" s="308" t="s">
        <v>721</v>
      </c>
      <c r="M343" s="308"/>
      <c r="N343" s="308"/>
      <c r="O343" s="308" t="s">
        <v>747</v>
      </c>
      <c r="P343" s="308" t="s">
        <v>748</v>
      </c>
      <c r="Q343" s="308" t="s">
        <v>748</v>
      </c>
      <c r="R343" s="308" t="s">
        <v>748</v>
      </c>
      <c r="S343" s="320">
        <v>1511</v>
      </c>
      <c r="T343" s="308" t="s">
        <v>749</v>
      </c>
      <c r="U343" s="308" t="s">
        <v>750</v>
      </c>
      <c r="V343" s="308" t="s">
        <v>751</v>
      </c>
      <c r="W343" s="308">
        <f>SUM(B343:S343)</f>
        <v>1511</v>
      </c>
      <c r="X343" s="308">
        <f t="shared" si="0"/>
        <v>0</v>
      </c>
      <c r="Y343" s="485" t="s">
        <v>498</v>
      </c>
      <c r="Z343" s="485" t="s">
        <v>498</v>
      </c>
      <c r="AA343" s="485" t="s">
        <v>498</v>
      </c>
      <c r="AB343" s="304"/>
      <c r="AC343" s="304"/>
    </row>
    <row r="344" spans="1:29" customFormat="1" ht="15">
      <c r="A344" s="311" t="s">
        <v>691</v>
      </c>
      <c r="B344" s="312">
        <v>78</v>
      </c>
      <c r="C344" s="308"/>
      <c r="D344" s="308"/>
      <c r="E344" s="308"/>
      <c r="F344" s="308"/>
      <c r="G344" s="308"/>
      <c r="H344" s="308"/>
      <c r="I344" s="308"/>
      <c r="J344" s="308"/>
      <c r="K344" s="308" t="s">
        <v>721</v>
      </c>
      <c r="L344" s="308" t="s">
        <v>721</v>
      </c>
      <c r="M344" s="308"/>
      <c r="N344" s="308"/>
      <c r="O344" s="308" t="s">
        <v>747</v>
      </c>
      <c r="P344" s="308" t="s">
        <v>748</v>
      </c>
      <c r="Q344" s="308" t="s">
        <v>748</v>
      </c>
      <c r="R344" s="308" t="s">
        <v>748</v>
      </c>
      <c r="S344" s="308" t="s">
        <v>748</v>
      </c>
      <c r="T344" s="308" t="s">
        <v>749</v>
      </c>
      <c r="U344" s="308" t="s">
        <v>750</v>
      </c>
      <c r="V344" s="320">
        <v>8117</v>
      </c>
      <c r="W344" s="308">
        <f>SUM(B344:S344)</f>
        <v>78</v>
      </c>
      <c r="X344" s="308">
        <f t="shared" si="0"/>
        <v>8117</v>
      </c>
      <c r="Y344" s="485" t="s">
        <v>498</v>
      </c>
      <c r="Z344" s="485" t="s">
        <v>498</v>
      </c>
      <c r="AA344" s="485" t="s">
        <v>498</v>
      </c>
      <c r="AB344" s="304"/>
      <c r="AC344" s="304"/>
    </row>
    <row r="345" spans="1:29" customFormat="1" ht="15">
      <c r="A345" s="311" t="s">
        <v>692</v>
      </c>
      <c r="B345" s="312"/>
      <c r="C345" s="308"/>
      <c r="D345" s="308"/>
      <c r="E345" s="308"/>
      <c r="F345" s="308"/>
      <c r="G345" s="308"/>
      <c r="H345" s="320">
        <v>6618</v>
      </c>
      <c r="I345" s="308"/>
      <c r="J345" s="308"/>
      <c r="K345" s="308" t="s">
        <v>721</v>
      </c>
      <c r="L345" s="308" t="s">
        <v>721</v>
      </c>
      <c r="M345" s="308"/>
      <c r="N345" s="308"/>
      <c r="O345" s="308" t="s">
        <v>747</v>
      </c>
      <c r="P345" s="308" t="s">
        <v>748</v>
      </c>
      <c r="Q345" s="308" t="s">
        <v>748</v>
      </c>
      <c r="R345" s="308" t="s">
        <v>748</v>
      </c>
      <c r="S345" s="308" t="s">
        <v>748</v>
      </c>
      <c r="T345" s="308" t="s">
        <v>749</v>
      </c>
      <c r="U345" s="308" t="s">
        <v>750</v>
      </c>
      <c r="V345" s="308" t="s">
        <v>751</v>
      </c>
      <c r="W345" s="308">
        <f>SUM(B345:S345)</f>
        <v>6618</v>
      </c>
      <c r="X345" s="308">
        <f t="shared" si="0"/>
        <v>0</v>
      </c>
      <c r="Y345" s="485" t="s">
        <v>498</v>
      </c>
      <c r="Z345" s="485" t="s">
        <v>498</v>
      </c>
      <c r="AA345" s="485" t="s">
        <v>498</v>
      </c>
      <c r="AB345" s="304"/>
      <c r="AC345" s="304"/>
    </row>
    <row r="346" spans="1:29" customFormat="1" ht="15">
      <c r="A346" s="311" t="s">
        <v>693</v>
      </c>
      <c r="B346" s="312"/>
      <c r="C346" s="308"/>
      <c r="D346" s="308"/>
      <c r="E346" s="308"/>
      <c r="F346" s="308"/>
      <c r="G346" s="308"/>
      <c r="H346" s="308">
        <v>177</v>
      </c>
      <c r="I346" s="308"/>
      <c r="J346" s="308"/>
      <c r="K346" s="308" t="s">
        <v>721</v>
      </c>
      <c r="L346" s="308" t="s">
        <v>721</v>
      </c>
      <c r="M346" s="308"/>
      <c r="N346" s="308"/>
      <c r="O346" s="308" t="s">
        <v>747</v>
      </c>
      <c r="P346" s="308" t="s">
        <v>748</v>
      </c>
      <c r="Q346" s="308" t="s">
        <v>748</v>
      </c>
      <c r="R346" s="308" t="s">
        <v>748</v>
      </c>
      <c r="S346" s="308" t="s">
        <v>748</v>
      </c>
      <c r="T346" s="308" t="s">
        <v>749</v>
      </c>
      <c r="U346" s="308" t="s">
        <v>750</v>
      </c>
      <c r="V346" s="308" t="s">
        <v>751</v>
      </c>
      <c r="W346" s="308">
        <f>SUM(B346:S346)</f>
        <v>177</v>
      </c>
      <c r="X346" s="308">
        <f t="shared" si="0"/>
        <v>0</v>
      </c>
      <c r="Y346" s="485" t="s">
        <v>498</v>
      </c>
      <c r="Z346" s="485" t="s">
        <v>498</v>
      </c>
      <c r="AA346" s="485" t="s">
        <v>498</v>
      </c>
      <c r="AB346" s="304"/>
      <c r="AC346" s="304"/>
    </row>
    <row r="347" spans="1:29" customFormat="1" ht="15">
      <c r="A347" s="311" t="s">
        <v>694</v>
      </c>
      <c r="B347" s="312"/>
      <c r="C347" s="308"/>
      <c r="D347" s="308"/>
      <c r="E347" s="308"/>
      <c r="F347" s="308"/>
      <c r="G347" s="308"/>
      <c r="H347" s="308">
        <v>351</v>
      </c>
      <c r="I347" s="308"/>
      <c r="J347" s="308"/>
      <c r="K347" s="308" t="s">
        <v>721</v>
      </c>
      <c r="L347" s="308" t="s">
        <v>721</v>
      </c>
      <c r="M347" s="308"/>
      <c r="N347" s="308"/>
      <c r="O347" s="308" t="s">
        <v>747</v>
      </c>
      <c r="P347" s="308" t="s">
        <v>748</v>
      </c>
      <c r="Q347" s="308" t="s">
        <v>748</v>
      </c>
      <c r="R347" s="308" t="s">
        <v>748</v>
      </c>
      <c r="S347" s="308" t="s">
        <v>748</v>
      </c>
      <c r="T347" s="308" t="s">
        <v>749</v>
      </c>
      <c r="U347" s="308" t="s">
        <v>750</v>
      </c>
      <c r="V347" s="308" t="s">
        <v>751</v>
      </c>
      <c r="W347" s="308">
        <f>SUM(B347:S347)</f>
        <v>351</v>
      </c>
      <c r="X347" s="308">
        <f t="shared" si="0"/>
        <v>0</v>
      </c>
      <c r="Y347" s="485" t="s">
        <v>498</v>
      </c>
      <c r="Z347" s="485" t="s">
        <v>498</v>
      </c>
      <c r="AA347" s="485" t="s">
        <v>498</v>
      </c>
      <c r="AB347" s="304"/>
      <c r="AC347" s="304"/>
    </row>
    <row r="348" spans="1:29" customFormat="1" ht="15">
      <c r="A348" s="311" t="s">
        <v>695</v>
      </c>
      <c r="B348" s="312"/>
      <c r="C348" s="308"/>
      <c r="D348" s="308"/>
      <c r="E348" s="308"/>
      <c r="F348" s="308"/>
      <c r="G348" s="308"/>
      <c r="H348" s="308"/>
      <c r="I348" s="308"/>
      <c r="J348" s="308"/>
      <c r="K348" s="308" t="s">
        <v>721</v>
      </c>
      <c r="L348" s="308" t="s">
        <v>721</v>
      </c>
      <c r="M348" s="308"/>
      <c r="N348" s="308"/>
      <c r="O348" s="308" t="s">
        <v>747</v>
      </c>
      <c r="P348" s="308" t="s">
        <v>748</v>
      </c>
      <c r="Q348" s="308" t="s">
        <v>748</v>
      </c>
      <c r="R348" s="308" t="s">
        <v>748</v>
      </c>
      <c r="S348" s="308" t="s">
        <v>748</v>
      </c>
      <c r="T348" s="308" t="s">
        <v>749</v>
      </c>
      <c r="U348" s="308" t="s">
        <v>750</v>
      </c>
      <c r="V348" s="320">
        <v>2579</v>
      </c>
      <c r="W348" s="308">
        <f>SUM(B348:S348)</f>
        <v>0</v>
      </c>
      <c r="X348" s="308">
        <f t="shared" si="0"/>
        <v>2579</v>
      </c>
      <c r="Y348" s="485" t="s">
        <v>498</v>
      </c>
      <c r="Z348" s="485" t="s">
        <v>498</v>
      </c>
      <c r="AA348" s="485" t="s">
        <v>498</v>
      </c>
      <c r="AB348" s="304"/>
      <c r="AC348" s="323"/>
    </row>
    <row r="349" spans="1:29" customFormat="1" ht="15">
      <c r="A349" s="311" t="s">
        <v>696</v>
      </c>
      <c r="B349" s="313"/>
      <c r="C349" s="314"/>
      <c r="D349" s="314"/>
      <c r="E349" s="314"/>
      <c r="F349" s="314"/>
      <c r="G349" s="314"/>
      <c r="H349" s="314"/>
      <c r="I349" s="314"/>
      <c r="J349" s="314"/>
      <c r="K349" s="314" t="s">
        <v>721</v>
      </c>
      <c r="L349" s="314" t="s">
        <v>721</v>
      </c>
      <c r="M349" s="314"/>
      <c r="N349" s="314"/>
      <c r="O349" s="314" t="s">
        <v>747</v>
      </c>
      <c r="P349" s="314" t="s">
        <v>748</v>
      </c>
      <c r="Q349" s="314" t="s">
        <v>748</v>
      </c>
      <c r="R349" s="314">
        <v>863</v>
      </c>
      <c r="S349" s="314" t="s">
        <v>748</v>
      </c>
      <c r="T349" s="314" t="s">
        <v>749</v>
      </c>
      <c r="U349" s="314" t="s">
        <v>750</v>
      </c>
      <c r="V349" s="314" t="s">
        <v>751</v>
      </c>
      <c r="W349" s="308">
        <f>SUM(B349:S349)</f>
        <v>863</v>
      </c>
      <c r="X349" s="308">
        <f t="shared" si="0"/>
        <v>0</v>
      </c>
      <c r="Y349" s="485" t="s">
        <v>498</v>
      </c>
      <c r="Z349" s="485" t="s">
        <v>498</v>
      </c>
      <c r="AA349" s="485" t="s">
        <v>498</v>
      </c>
      <c r="AB349" s="304"/>
      <c r="AC349" s="304"/>
    </row>
    <row r="350" spans="1:29" customFormat="1" ht="15">
      <c r="A350" s="311" t="s">
        <v>697</v>
      </c>
      <c r="B350" s="306"/>
      <c r="C350" s="307"/>
      <c r="D350" s="307"/>
      <c r="E350" s="307"/>
      <c r="F350" s="307"/>
      <c r="G350" s="307"/>
      <c r="H350" s="307"/>
      <c r="I350" s="307"/>
      <c r="J350" s="307"/>
      <c r="K350" s="307" t="s">
        <v>721</v>
      </c>
      <c r="L350" s="307" t="s">
        <v>721</v>
      </c>
      <c r="M350" s="307"/>
      <c r="N350" s="307"/>
      <c r="O350" s="307" t="s">
        <v>747</v>
      </c>
      <c r="P350" s="324">
        <v>1864</v>
      </c>
      <c r="Q350" s="307" t="s">
        <v>748</v>
      </c>
      <c r="R350" s="307" t="s">
        <v>748</v>
      </c>
      <c r="S350" s="307" t="s">
        <v>748</v>
      </c>
      <c r="T350" s="307" t="s">
        <v>749</v>
      </c>
      <c r="U350" s="307" t="s">
        <v>750</v>
      </c>
      <c r="V350" s="307" t="s">
        <v>751</v>
      </c>
      <c r="W350" s="308">
        <f>SUM(B350:S350)</f>
        <v>1864</v>
      </c>
      <c r="X350" s="308">
        <f t="shared" si="0"/>
        <v>0</v>
      </c>
      <c r="Y350" s="485" t="s">
        <v>498</v>
      </c>
      <c r="Z350" s="485" t="s">
        <v>498</v>
      </c>
      <c r="AA350" s="485" t="s">
        <v>498</v>
      </c>
      <c r="AB350" s="304"/>
      <c r="AC350" s="304"/>
    </row>
    <row r="351" spans="1:29" customFormat="1" ht="15">
      <c r="A351" s="311" t="s">
        <v>698</v>
      </c>
      <c r="B351" s="312"/>
      <c r="C351" s="308"/>
      <c r="D351" s="308"/>
      <c r="E351" s="308"/>
      <c r="F351" s="308"/>
      <c r="G351" s="308"/>
      <c r="H351" s="308"/>
      <c r="I351" s="308"/>
      <c r="J351" s="308"/>
      <c r="K351" s="308" t="s">
        <v>721</v>
      </c>
      <c r="L351" s="308" t="s">
        <v>721</v>
      </c>
      <c r="M351" s="308"/>
      <c r="N351" s="308"/>
      <c r="O351" s="308" t="s">
        <v>721</v>
      </c>
      <c r="P351" s="308" t="s">
        <v>721</v>
      </c>
      <c r="Q351" s="308" t="s">
        <v>721</v>
      </c>
      <c r="R351" s="308">
        <v>9</v>
      </c>
      <c r="S351" s="308" t="s">
        <v>721</v>
      </c>
      <c r="T351" s="308" t="s">
        <v>721</v>
      </c>
      <c r="U351" s="308" t="s">
        <v>721</v>
      </c>
      <c r="V351" s="308" t="s">
        <v>721</v>
      </c>
      <c r="W351" s="308">
        <f>SUM(B351:S351)</f>
        <v>9</v>
      </c>
      <c r="X351" s="308">
        <f t="shared" si="0"/>
        <v>0</v>
      </c>
      <c r="Y351" s="485" t="s">
        <v>498</v>
      </c>
      <c r="Z351" s="485" t="s">
        <v>498</v>
      </c>
      <c r="AA351" s="485" t="s">
        <v>498</v>
      </c>
      <c r="AB351" s="304"/>
      <c r="AC351" s="304"/>
    </row>
    <row r="352" spans="1:29" customFormat="1" ht="15">
      <c r="A352" s="311" t="s">
        <v>699</v>
      </c>
      <c r="B352" s="312"/>
      <c r="C352" s="308"/>
      <c r="D352" s="308"/>
      <c r="E352" s="308"/>
      <c r="F352" s="308"/>
      <c r="G352" s="308"/>
      <c r="H352" s="320">
        <v>10050</v>
      </c>
      <c r="I352" s="308"/>
      <c r="J352" s="308"/>
      <c r="K352" s="308" t="s">
        <v>721</v>
      </c>
      <c r="L352" s="308" t="s">
        <v>721</v>
      </c>
      <c r="M352" s="308"/>
      <c r="N352" s="308"/>
      <c r="O352" s="308" t="s">
        <v>747</v>
      </c>
      <c r="P352" s="308" t="s">
        <v>748</v>
      </c>
      <c r="Q352" s="308" t="s">
        <v>748</v>
      </c>
      <c r="R352" s="308" t="s">
        <v>748</v>
      </c>
      <c r="S352" s="308" t="s">
        <v>748</v>
      </c>
      <c r="T352" s="308" t="s">
        <v>749</v>
      </c>
      <c r="U352" s="308" t="s">
        <v>750</v>
      </c>
      <c r="V352" s="308" t="s">
        <v>751</v>
      </c>
      <c r="W352" s="308">
        <f>SUM(B352:S352)</f>
        <v>10050</v>
      </c>
      <c r="X352" s="308">
        <f t="shared" si="0"/>
        <v>0</v>
      </c>
      <c r="Y352" s="485" t="s">
        <v>498</v>
      </c>
      <c r="Z352" s="485" t="s">
        <v>498</v>
      </c>
      <c r="AA352" s="485" t="s">
        <v>498</v>
      </c>
      <c r="AB352" s="304"/>
      <c r="AC352" s="304"/>
    </row>
    <row r="353" spans="1:29" customFormat="1" ht="15">
      <c r="A353" s="311" t="s">
        <v>700</v>
      </c>
      <c r="B353" s="319">
        <v>2586</v>
      </c>
      <c r="C353" s="308"/>
      <c r="D353" s="308"/>
      <c r="E353" s="308"/>
      <c r="F353" s="308"/>
      <c r="G353" s="320">
        <v>117353</v>
      </c>
      <c r="H353" s="320">
        <v>217785</v>
      </c>
      <c r="I353" s="320">
        <v>3599</v>
      </c>
      <c r="J353" s="308"/>
      <c r="K353" s="308" t="s">
        <v>721</v>
      </c>
      <c r="L353" s="308" t="s">
        <v>721</v>
      </c>
      <c r="M353" s="308"/>
      <c r="N353" s="308"/>
      <c r="O353" s="308" t="s">
        <v>747</v>
      </c>
      <c r="P353" s="308" t="s">
        <v>748</v>
      </c>
      <c r="Q353" s="308" t="s">
        <v>748</v>
      </c>
      <c r="R353" s="308" t="s">
        <v>748</v>
      </c>
      <c r="S353" s="308" t="s">
        <v>748</v>
      </c>
      <c r="T353" s="308" t="s">
        <v>749</v>
      </c>
      <c r="U353" s="308" t="s">
        <v>750</v>
      </c>
      <c r="V353" s="308" t="s">
        <v>751</v>
      </c>
      <c r="W353" s="308">
        <f>SUM(B353:S353)</f>
        <v>341323</v>
      </c>
      <c r="X353" s="308">
        <f t="shared" si="0"/>
        <v>0</v>
      </c>
      <c r="Y353" s="485" t="s">
        <v>498</v>
      </c>
      <c r="Z353" s="310">
        <v>798</v>
      </c>
      <c r="AA353" s="310">
        <v>798</v>
      </c>
      <c r="AB353" s="304"/>
      <c r="AC353" s="304"/>
    </row>
    <row r="354" spans="1:29" customFormat="1" ht="15">
      <c r="A354" s="311" t="s">
        <v>701</v>
      </c>
      <c r="B354" s="319"/>
      <c r="C354" s="308"/>
      <c r="D354" s="308"/>
      <c r="E354" s="308"/>
      <c r="F354" s="308"/>
      <c r="G354" s="308"/>
      <c r="H354" s="308"/>
      <c r="I354" s="308"/>
      <c r="J354" s="308"/>
      <c r="K354" s="308" t="s">
        <v>721</v>
      </c>
      <c r="L354" s="308" t="s">
        <v>721</v>
      </c>
      <c r="M354" s="308"/>
      <c r="N354" s="308"/>
      <c r="O354" s="308" t="s">
        <v>747</v>
      </c>
      <c r="P354" s="308" t="s">
        <v>748</v>
      </c>
      <c r="Q354" s="308" t="s">
        <v>748</v>
      </c>
      <c r="R354" s="308" t="s">
        <v>748</v>
      </c>
      <c r="S354" s="308" t="s">
        <v>748</v>
      </c>
      <c r="T354" s="308" t="s">
        <v>749</v>
      </c>
      <c r="U354" s="308">
        <v>108</v>
      </c>
      <c r="V354" s="308" t="s">
        <v>751</v>
      </c>
      <c r="W354" s="308">
        <f>SUM(B354:S354)</f>
        <v>0</v>
      </c>
      <c r="X354" s="308">
        <f t="shared" si="0"/>
        <v>108</v>
      </c>
      <c r="Y354" s="485" t="s">
        <v>498</v>
      </c>
      <c r="Z354" s="485" t="s">
        <v>498</v>
      </c>
      <c r="AA354" s="485" t="s">
        <v>498</v>
      </c>
      <c r="AB354" s="304"/>
      <c r="AC354" s="304"/>
    </row>
    <row r="355" spans="1:29" customFormat="1" ht="15">
      <c r="A355" s="311" t="s">
        <v>702</v>
      </c>
      <c r="B355" s="312"/>
      <c r="C355" s="308"/>
      <c r="D355" s="308">
        <v>594</v>
      </c>
      <c r="E355" s="308"/>
      <c r="F355" s="308"/>
      <c r="G355" s="308"/>
      <c r="H355" s="308"/>
      <c r="I355" s="308"/>
      <c r="J355" s="308"/>
      <c r="K355" s="308" t="s">
        <v>721</v>
      </c>
      <c r="L355" s="308" t="s">
        <v>721</v>
      </c>
      <c r="M355" s="308"/>
      <c r="N355" s="308"/>
      <c r="O355" s="308" t="s">
        <v>747</v>
      </c>
      <c r="P355" s="308" t="s">
        <v>748</v>
      </c>
      <c r="Q355" s="320">
        <v>3800</v>
      </c>
      <c r="R355" s="308" t="s">
        <v>748</v>
      </c>
      <c r="S355" s="308">
        <v>270</v>
      </c>
      <c r="T355" s="308" t="s">
        <v>749</v>
      </c>
      <c r="U355" s="308" t="s">
        <v>750</v>
      </c>
      <c r="V355" s="308" t="s">
        <v>751</v>
      </c>
      <c r="W355" s="308">
        <f>SUM(B355:S355)</f>
        <v>4664</v>
      </c>
      <c r="X355" s="308">
        <f t="shared" si="0"/>
        <v>0</v>
      </c>
      <c r="Y355" s="485" t="s">
        <v>498</v>
      </c>
      <c r="Z355" s="485" t="s">
        <v>498</v>
      </c>
      <c r="AA355" s="485" t="s">
        <v>498</v>
      </c>
      <c r="AB355" s="304"/>
      <c r="AC355" s="304"/>
    </row>
    <row r="356" spans="1:29" customFormat="1" ht="15">
      <c r="A356" s="317" t="s">
        <v>703</v>
      </c>
      <c r="B356" s="492">
        <f t="shared" ref="B356:G356" si="1">SUM(B312:B355)</f>
        <v>8665</v>
      </c>
      <c r="C356" s="492">
        <f t="shared" si="1"/>
        <v>0</v>
      </c>
      <c r="D356" s="492">
        <f t="shared" si="1"/>
        <v>5834</v>
      </c>
      <c r="E356" s="492">
        <f t="shared" si="1"/>
        <v>4417</v>
      </c>
      <c r="F356" s="492">
        <f t="shared" si="1"/>
        <v>2794</v>
      </c>
      <c r="G356" s="492">
        <f t="shared" si="1"/>
        <v>117353</v>
      </c>
      <c r="H356" s="492">
        <v>277163</v>
      </c>
      <c r="I356" s="492">
        <f t="shared" ref="I356:N356" si="2">SUM(I312:I355)</f>
        <v>3599</v>
      </c>
      <c r="J356" s="492">
        <f t="shared" si="2"/>
        <v>4568</v>
      </c>
      <c r="K356" s="492">
        <f t="shared" si="2"/>
        <v>156</v>
      </c>
      <c r="L356" s="492">
        <f t="shared" si="2"/>
        <v>3833</v>
      </c>
      <c r="M356" s="492">
        <f t="shared" si="2"/>
        <v>67</v>
      </c>
      <c r="N356" s="492">
        <f t="shared" si="2"/>
        <v>1377</v>
      </c>
      <c r="O356" s="325">
        <v>31545</v>
      </c>
      <c r="P356" s="325">
        <v>2613</v>
      </c>
      <c r="Q356" s="325">
        <v>76507</v>
      </c>
      <c r="R356" s="325">
        <v>3651</v>
      </c>
      <c r="S356" s="325">
        <v>15283</v>
      </c>
      <c r="T356" s="325">
        <v>3420</v>
      </c>
      <c r="U356" s="325">
        <v>1808</v>
      </c>
      <c r="V356" s="325">
        <v>15887</v>
      </c>
      <c r="W356" s="325">
        <f>SUM(B356:S356)</f>
        <v>559425</v>
      </c>
      <c r="X356" s="325">
        <f t="shared" si="0"/>
        <v>21115</v>
      </c>
      <c r="Y356" s="315">
        <v>3755</v>
      </c>
      <c r="Z356" s="316">
        <v>798</v>
      </c>
      <c r="AA356" s="316">
        <v>4553</v>
      </c>
      <c r="AB356" s="304"/>
      <c r="AC356" s="304"/>
    </row>
    <row r="357" spans="1:29" customFormat="1" ht="15"/>
    <row r="358" spans="1:29" customFormat="1" ht="15"/>
    <row r="359" spans="1:29" ht="15">
      <c r="A359" s="715" t="s">
        <v>752</v>
      </c>
      <c r="B359" s="716"/>
      <c r="C359" s="716"/>
      <c r="D359" s="716"/>
      <c r="E359" s="716"/>
      <c r="F359" s="280"/>
      <c r="G359" s="280"/>
      <c r="H359" s="280"/>
      <c r="I359" s="280"/>
      <c r="J359" s="280"/>
      <c r="K359" s="280"/>
      <c r="L359" s="280"/>
      <c r="M359" s="280"/>
      <c r="N359" s="279"/>
      <c r="O359" s="279"/>
      <c r="P359" s="5"/>
      <c r="Q359" s="5"/>
    </row>
    <row r="360" spans="1:29" ht="15">
      <c r="A360" s="493"/>
      <c r="B360" s="494" t="s">
        <v>351</v>
      </c>
      <c r="C360" s="494" t="s">
        <v>352</v>
      </c>
      <c r="D360" s="494" t="s">
        <v>214</v>
      </c>
      <c r="E360" s="494" t="s">
        <v>197</v>
      </c>
      <c r="F360" s="280"/>
      <c r="G360" s="60"/>
      <c r="H360" s="60"/>
      <c r="I360" s="61"/>
      <c r="J360" s="61"/>
      <c r="K360" s="279"/>
      <c r="L360" s="279"/>
      <c r="M360" s="5"/>
      <c r="N360" s="5"/>
    </row>
    <row r="361" spans="1:29" ht="27.6" customHeight="1">
      <c r="A361" s="734" t="s">
        <v>753</v>
      </c>
      <c r="B361" s="735"/>
      <c r="C361" s="735"/>
      <c r="D361" s="735"/>
      <c r="E361" s="735"/>
      <c r="F361" s="280"/>
      <c r="G361" s="60"/>
      <c r="H361" s="60"/>
      <c r="I361" s="61"/>
      <c r="J361" s="61"/>
      <c r="K361" s="279"/>
      <c r="L361" s="279"/>
      <c r="M361" s="5"/>
      <c r="N361" s="5"/>
    </row>
    <row r="362" spans="1:29" ht="15">
      <c r="A362" s="499" t="s">
        <v>754</v>
      </c>
      <c r="B362" s="500">
        <v>487754</v>
      </c>
      <c r="C362" s="500">
        <v>443212</v>
      </c>
      <c r="D362" s="501">
        <v>543689</v>
      </c>
      <c r="E362" s="502">
        <v>634832</v>
      </c>
      <c r="F362" s="273"/>
      <c r="G362" s="60"/>
      <c r="H362" s="60"/>
      <c r="I362" s="61"/>
      <c r="J362" s="61"/>
      <c r="K362" s="279"/>
      <c r="L362" s="279"/>
      <c r="M362" s="5"/>
      <c r="N362" s="5"/>
    </row>
    <row r="363" spans="1:29" ht="15">
      <c r="A363" s="19" t="s">
        <v>755</v>
      </c>
      <c r="B363" s="14">
        <v>0.2</v>
      </c>
      <c r="C363" s="14">
        <v>0.19</v>
      </c>
      <c r="D363" s="245">
        <v>0.22</v>
      </c>
      <c r="E363" s="353">
        <v>0.27</v>
      </c>
      <c r="F363" s="280"/>
      <c r="G363" s="60"/>
      <c r="H363" s="60"/>
      <c r="I363" s="61"/>
      <c r="J363" s="61"/>
      <c r="K363" s="279"/>
      <c r="L363" s="279"/>
      <c r="M363" s="5"/>
      <c r="N363" s="5"/>
    </row>
    <row r="364" spans="1:29" ht="15">
      <c r="A364" s="49" t="s">
        <v>756</v>
      </c>
      <c r="B364" s="23">
        <v>13402</v>
      </c>
      <c r="C364" s="23">
        <v>29897</v>
      </c>
      <c r="D364" s="417">
        <v>232256</v>
      </c>
      <c r="E364" s="352">
        <v>524050</v>
      </c>
      <c r="F364" s="280"/>
      <c r="G364" s="60"/>
      <c r="H364" s="60"/>
      <c r="I364" s="61"/>
      <c r="J364" s="61"/>
      <c r="K364" s="279"/>
      <c r="L364" s="279"/>
      <c r="M364" s="5"/>
      <c r="N364" s="5"/>
    </row>
    <row r="365" spans="1:29" ht="15">
      <c r="A365" s="49" t="s">
        <v>755</v>
      </c>
      <c r="B365" s="213">
        <v>4.0000000000000001E-3</v>
      </c>
      <c r="C365" s="14">
        <v>0.01</v>
      </c>
      <c r="D365" s="245">
        <v>7.0000000000000007E-2</v>
      </c>
      <c r="E365" s="353">
        <v>0.16</v>
      </c>
      <c r="F365" s="280"/>
      <c r="G365" s="60"/>
      <c r="H365" s="60"/>
      <c r="I365" s="61"/>
      <c r="J365" s="61"/>
      <c r="K365" s="279"/>
      <c r="L365" s="279"/>
      <c r="M365" s="5"/>
      <c r="N365" s="5"/>
    </row>
    <row r="366" spans="1:29" ht="15">
      <c r="A366" s="49" t="s">
        <v>757</v>
      </c>
      <c r="B366" s="23">
        <v>531010</v>
      </c>
      <c r="C366" s="23">
        <v>479774</v>
      </c>
      <c r="D366" s="417">
        <v>798393</v>
      </c>
      <c r="E366" s="352">
        <v>1158882</v>
      </c>
      <c r="F366" s="280"/>
      <c r="G366" s="60"/>
      <c r="H366" s="60"/>
      <c r="I366" s="61"/>
      <c r="J366" s="61"/>
      <c r="K366" s="279"/>
      <c r="L366" s="279"/>
      <c r="M366" s="5"/>
      <c r="N366" s="5"/>
    </row>
    <row r="367" spans="1:29" ht="15">
      <c r="A367" s="495" t="s">
        <v>755</v>
      </c>
      <c r="B367" s="496">
        <v>0.08</v>
      </c>
      <c r="C367" s="496">
        <v>0.08</v>
      </c>
      <c r="D367" s="497">
        <v>0.13</v>
      </c>
      <c r="E367" s="498">
        <v>0.19</v>
      </c>
      <c r="F367" s="280"/>
      <c r="G367" s="60"/>
      <c r="H367" s="60"/>
      <c r="I367" s="61"/>
      <c r="J367" s="61"/>
      <c r="K367" s="279"/>
      <c r="L367" s="279"/>
      <c r="M367" s="5"/>
      <c r="N367" s="5"/>
    </row>
    <row r="368" spans="1:29" ht="27.6" customHeight="1">
      <c r="A368" s="735" t="s">
        <v>758</v>
      </c>
      <c r="B368" s="735"/>
      <c r="C368" s="735"/>
      <c r="D368" s="735"/>
      <c r="E368" s="735"/>
      <c r="F368" s="280"/>
      <c r="G368" s="60"/>
      <c r="H368" s="60"/>
      <c r="I368" s="61"/>
      <c r="J368" s="61"/>
      <c r="K368" s="279"/>
      <c r="L368" s="279"/>
      <c r="M368" s="5"/>
      <c r="N368" s="5"/>
    </row>
    <row r="369" spans="1:22" ht="15">
      <c r="A369" s="499" t="s">
        <v>754</v>
      </c>
      <c r="B369" s="503">
        <v>365</v>
      </c>
      <c r="C369" s="503">
        <v>2171</v>
      </c>
      <c r="D369" s="504">
        <v>2709</v>
      </c>
      <c r="E369" s="505" t="s">
        <v>759</v>
      </c>
      <c r="F369" s="280"/>
      <c r="G369" s="60"/>
      <c r="H369" s="60"/>
      <c r="I369" s="61"/>
      <c r="J369" s="61"/>
      <c r="K369" s="279"/>
      <c r="L369" s="279"/>
      <c r="M369" s="5"/>
      <c r="N369" s="5"/>
    </row>
    <row r="370" spans="1:22" ht="15">
      <c r="A370" s="19" t="s">
        <v>755</v>
      </c>
      <c r="B370" s="222">
        <v>2E-3</v>
      </c>
      <c r="C370" s="14">
        <v>0.01</v>
      </c>
      <c r="D370" s="14">
        <v>0.01</v>
      </c>
      <c r="E370" s="505" t="s">
        <v>760</v>
      </c>
      <c r="F370" s="280"/>
      <c r="G370" s="60"/>
      <c r="H370" s="60"/>
      <c r="I370" s="61"/>
      <c r="J370" s="61"/>
      <c r="K370" s="279"/>
      <c r="L370" s="279"/>
      <c r="M370" s="5"/>
      <c r="N370" s="5"/>
    </row>
    <row r="371" spans="1:22" ht="15">
      <c r="A371" s="19" t="s">
        <v>756</v>
      </c>
      <c r="B371" s="275">
        <v>310798</v>
      </c>
      <c r="C371" s="23">
        <v>459127</v>
      </c>
      <c r="D371" s="505" t="s">
        <v>761</v>
      </c>
      <c r="E371" s="505" t="s">
        <v>762</v>
      </c>
      <c r="F371" s="280"/>
      <c r="G371" s="60"/>
      <c r="H371" s="60"/>
      <c r="I371" s="61"/>
      <c r="J371" s="61"/>
      <c r="K371" s="279"/>
      <c r="L371" s="279"/>
      <c r="M371" s="5"/>
      <c r="N371" s="5"/>
    </row>
    <row r="372" spans="1:22" ht="15">
      <c r="A372" s="19" t="s">
        <v>755</v>
      </c>
      <c r="B372" s="138">
        <v>0.48</v>
      </c>
      <c r="C372" s="14">
        <v>0.78</v>
      </c>
      <c r="D372" s="505" t="s">
        <v>763</v>
      </c>
      <c r="E372" s="505" t="s">
        <v>764</v>
      </c>
      <c r="F372" s="280"/>
      <c r="G372" s="60"/>
      <c r="H372" s="60"/>
      <c r="I372" s="61"/>
      <c r="J372" s="61"/>
      <c r="K372" s="279"/>
      <c r="L372" s="279"/>
      <c r="M372" s="5"/>
      <c r="N372" s="5"/>
    </row>
    <row r="373" spans="1:22" ht="15">
      <c r="A373" s="19" t="s">
        <v>757</v>
      </c>
      <c r="B373" s="275">
        <v>311163</v>
      </c>
      <c r="C373" s="23">
        <v>461298</v>
      </c>
      <c r="D373" s="505" t="s">
        <v>765</v>
      </c>
      <c r="E373" s="505" t="s">
        <v>766</v>
      </c>
      <c r="F373" s="280"/>
      <c r="G373" s="60"/>
      <c r="H373" s="60"/>
      <c r="I373" s="61"/>
      <c r="J373" s="61"/>
      <c r="K373" s="279"/>
      <c r="L373" s="279"/>
      <c r="M373" s="5"/>
      <c r="N373" s="5"/>
    </row>
    <row r="374" spans="1:22" ht="15">
      <c r="A374" s="19" t="s">
        <v>755</v>
      </c>
      <c r="B374" s="138">
        <v>0.36</v>
      </c>
      <c r="C374" s="14">
        <v>0.57999999999999996</v>
      </c>
      <c r="D374" s="505" t="s">
        <v>767</v>
      </c>
      <c r="E374" s="505" t="s">
        <v>768</v>
      </c>
      <c r="F374" s="280"/>
      <c r="G374" s="60"/>
      <c r="H374" s="60"/>
      <c r="I374" s="61"/>
      <c r="J374" s="61"/>
      <c r="K374" s="279"/>
      <c r="L374" s="279"/>
      <c r="M374" s="5"/>
      <c r="N374" s="5"/>
    </row>
    <row r="375" spans="1:22" ht="15">
      <c r="B375" s="89"/>
      <c r="C375" s="90"/>
      <c r="D375" s="90"/>
      <c r="E375" s="280"/>
      <c r="F375" s="280"/>
      <c r="G375" s="60"/>
      <c r="H375" s="60"/>
      <c r="I375" s="61"/>
      <c r="J375" s="61"/>
      <c r="K375" s="279"/>
      <c r="L375" s="279"/>
      <c r="M375" s="5"/>
      <c r="N375" s="5"/>
    </row>
    <row r="376" spans="1:22" ht="47.25" customHeight="1">
      <c r="A376" s="652" t="s">
        <v>769</v>
      </c>
      <c r="B376" s="652"/>
      <c r="C376" s="652"/>
      <c r="D376" s="652"/>
      <c r="E376" s="652"/>
      <c r="F376" s="652"/>
      <c r="G376" s="652"/>
      <c r="I376" s="346"/>
      <c r="L376" s="243"/>
      <c r="R376"/>
      <c r="S376"/>
      <c r="T376"/>
      <c r="U376"/>
      <c r="V376"/>
    </row>
    <row r="377" spans="1:22" ht="33" customHeight="1">
      <c r="A377" s="652" t="s">
        <v>770</v>
      </c>
      <c r="B377" s="652"/>
      <c r="C377" s="652"/>
      <c r="D377" s="652"/>
      <c r="E377" s="652"/>
      <c r="F377" s="652"/>
      <c r="G377" s="652"/>
      <c r="I377" s="346"/>
      <c r="L377" s="243"/>
      <c r="R377"/>
      <c r="S377"/>
      <c r="T377"/>
      <c r="U377"/>
      <c r="V377"/>
    </row>
    <row r="378" spans="1:22" s="219" customFormat="1" ht="29.1" customHeight="1">
      <c r="A378" s="652" t="s">
        <v>771</v>
      </c>
      <c r="B378" s="652"/>
      <c r="C378" s="652"/>
      <c r="D378" s="652"/>
      <c r="E378" s="652"/>
      <c r="F378" s="652"/>
      <c r="G378" s="652"/>
    </row>
    <row r="379" spans="1:22" ht="69" customHeight="1">
      <c r="A379" s="707" t="s">
        <v>772</v>
      </c>
      <c r="B379" s="708"/>
      <c r="C379" s="708"/>
      <c r="D379" s="708"/>
      <c r="E379" s="708"/>
      <c r="F379" s="708"/>
      <c r="G379" s="708"/>
      <c r="H379" s="280"/>
      <c r="I379" s="280"/>
      <c r="J379" s="60"/>
      <c r="K379" s="60"/>
      <c r="L379" s="61"/>
      <c r="M379" s="61"/>
      <c r="N379" s="279"/>
      <c r="O379" s="279"/>
      <c r="P379" s="5"/>
      <c r="Q379" s="5"/>
    </row>
    <row r="380" spans="1:22" ht="15.6" customHeight="1">
      <c r="A380" s="615"/>
      <c r="B380" s="615"/>
      <c r="C380" s="615"/>
      <c r="D380" s="615"/>
      <c r="E380" s="615"/>
      <c r="F380" s="615"/>
      <c r="G380" s="615"/>
      <c r="H380" s="280"/>
      <c r="I380" s="280"/>
      <c r="J380" s="60"/>
      <c r="K380" s="60"/>
      <c r="L380" s="61"/>
      <c r="M380" s="61"/>
      <c r="N380" s="279"/>
      <c r="O380" s="279"/>
      <c r="P380" s="5"/>
      <c r="Q380" s="5"/>
    </row>
    <row r="381" spans="1:22" ht="15">
      <c r="B381" s="88"/>
      <c r="C381" s="89"/>
      <c r="D381" s="90"/>
      <c r="E381" s="90"/>
      <c r="F381" s="91"/>
      <c r="G381" s="158"/>
      <c r="H381" s="280"/>
      <c r="I381" s="280"/>
      <c r="J381" s="60"/>
      <c r="K381" s="60"/>
      <c r="L381" s="61"/>
      <c r="M381" s="61"/>
      <c r="N381" s="279"/>
      <c r="O381" s="279"/>
      <c r="P381" s="5"/>
      <c r="Q381" s="5"/>
    </row>
    <row r="382" spans="1:22" ht="15.75" customHeight="1">
      <c r="A382" s="736" t="s">
        <v>773</v>
      </c>
      <c r="B382" s="737"/>
      <c r="C382" s="738"/>
      <c r="D382" s="60"/>
      <c r="G382" s="5"/>
      <c r="H382" s="5"/>
      <c r="I382" s="5"/>
      <c r="J382" s="5"/>
      <c r="K382" s="5"/>
      <c r="L382" s="5"/>
      <c r="M382" s="5"/>
      <c r="N382" s="5"/>
      <c r="O382" s="5"/>
      <c r="P382" s="5"/>
      <c r="Q382" s="5"/>
    </row>
    <row r="383" spans="1:22" ht="15.75" customHeight="1">
      <c r="A383" s="223"/>
      <c r="B383" s="224"/>
      <c r="C383" s="297" t="s">
        <v>197</v>
      </c>
      <c r="D383" s="298"/>
      <c r="G383" s="5"/>
      <c r="H383" s="5"/>
      <c r="I383" s="5"/>
      <c r="J383" s="5"/>
      <c r="K383" s="5"/>
      <c r="L383" s="5"/>
      <c r="M383" s="5"/>
      <c r="N383" s="5"/>
      <c r="O383" s="5"/>
      <c r="P383" s="5"/>
      <c r="Q383" s="5"/>
    </row>
    <row r="384" spans="1:22" ht="14.1" customHeight="1">
      <c r="A384" s="730" t="s">
        <v>774</v>
      </c>
      <c r="B384" s="731"/>
      <c r="C384" s="404">
        <v>176169</v>
      </c>
      <c r="D384" s="60"/>
      <c r="G384" s="5"/>
      <c r="H384" s="5"/>
      <c r="I384" s="5"/>
      <c r="J384" s="5"/>
      <c r="K384" s="5"/>
      <c r="L384" s="5"/>
      <c r="M384" s="5"/>
      <c r="N384" s="5"/>
      <c r="O384" s="5"/>
      <c r="P384" s="5"/>
      <c r="Q384" s="5"/>
    </row>
    <row r="385" spans="1:17" ht="14.1" customHeight="1">
      <c r="A385" s="730" t="s">
        <v>775</v>
      </c>
      <c r="B385" s="731"/>
      <c r="C385" s="404">
        <v>13975</v>
      </c>
      <c r="D385" s="60"/>
      <c r="G385" s="5"/>
      <c r="H385" s="5"/>
      <c r="I385" s="5"/>
      <c r="J385" s="5"/>
      <c r="K385" s="5"/>
      <c r="L385" s="5"/>
      <c r="M385" s="5"/>
      <c r="N385" s="5"/>
      <c r="O385" s="5"/>
      <c r="P385" s="5"/>
      <c r="Q385" s="5"/>
    </row>
    <row r="386" spans="1:17" ht="14.1" customHeight="1">
      <c r="A386" s="693" t="s">
        <v>713</v>
      </c>
      <c r="B386" s="694"/>
      <c r="C386" s="404">
        <v>2465</v>
      </c>
      <c r="D386" s="60"/>
      <c r="G386" s="412"/>
      <c r="H386" s="5"/>
      <c r="I386" s="413"/>
      <c r="J386" s="5"/>
      <c r="K386" s="5"/>
      <c r="L386" s="5"/>
      <c r="M386" s="5"/>
      <c r="N386" s="5"/>
      <c r="O386" s="5"/>
      <c r="P386" s="5"/>
      <c r="Q386" s="5"/>
    </row>
    <row r="387" spans="1:17" ht="14.1" customHeight="1">
      <c r="A387" s="693" t="s">
        <v>776</v>
      </c>
      <c r="B387" s="694"/>
      <c r="C387" s="404">
        <v>3546</v>
      </c>
      <c r="D387" s="60"/>
      <c r="G387" s="5"/>
      <c r="H387" s="5"/>
      <c r="I387" s="5"/>
      <c r="J387" s="5"/>
      <c r="K387" s="5"/>
      <c r="L387" s="5"/>
      <c r="M387" s="5"/>
      <c r="N387" s="5"/>
      <c r="O387" s="5"/>
      <c r="P387" s="5"/>
      <c r="Q387" s="5"/>
    </row>
    <row r="388" spans="1:17" ht="14.1" customHeight="1">
      <c r="A388" s="693" t="s">
        <v>777</v>
      </c>
      <c r="B388" s="694"/>
      <c r="C388" s="404">
        <v>1019</v>
      </c>
      <c r="D388" s="60"/>
      <c r="G388" s="5"/>
      <c r="H388" s="5"/>
      <c r="I388" s="5"/>
      <c r="J388" s="5"/>
      <c r="K388" s="5"/>
      <c r="L388" s="5"/>
      <c r="M388" s="5"/>
      <c r="N388" s="5"/>
      <c r="O388" s="5"/>
      <c r="P388" s="5"/>
      <c r="Q388" s="5"/>
    </row>
    <row r="389" spans="1:17">
      <c r="A389" s="693" t="s">
        <v>778</v>
      </c>
      <c r="B389" s="694"/>
      <c r="C389" s="404">
        <v>1659</v>
      </c>
      <c r="D389" s="60"/>
      <c r="G389" s="5"/>
      <c r="H389" s="5"/>
      <c r="I389" s="5"/>
      <c r="J389" s="5"/>
      <c r="K389" s="5"/>
      <c r="L389" s="5"/>
      <c r="M389" s="5"/>
      <c r="N389" s="5"/>
      <c r="O389" s="5"/>
      <c r="P389" s="5"/>
      <c r="Q389" s="5"/>
    </row>
    <row r="390" spans="1:17" ht="14.1" customHeight="1">
      <c r="A390" s="613" t="s">
        <v>779</v>
      </c>
      <c r="B390" s="614"/>
      <c r="C390" s="409">
        <v>11</v>
      </c>
      <c r="D390" s="60"/>
      <c r="G390" s="5"/>
      <c r="H390" s="5"/>
      <c r="I390" s="5"/>
      <c r="J390" s="5"/>
      <c r="K390" s="5"/>
      <c r="L390" s="5"/>
      <c r="M390" s="5"/>
      <c r="N390" s="5"/>
      <c r="O390" s="5"/>
      <c r="P390" s="5"/>
      <c r="Q390" s="5"/>
    </row>
    <row r="391" spans="1:17" ht="14.1" customHeight="1">
      <c r="A391" s="712" t="s">
        <v>385</v>
      </c>
      <c r="B391" s="713"/>
      <c r="C391" s="406">
        <v>198845</v>
      </c>
      <c r="D391" s="60"/>
      <c r="G391" s="5"/>
      <c r="H391" s="5"/>
      <c r="I391" s="5"/>
      <c r="J391" s="5"/>
      <c r="K391" s="5"/>
      <c r="L391" s="5"/>
      <c r="M391" s="5"/>
      <c r="N391" s="5"/>
      <c r="O391" s="5"/>
      <c r="P391" s="5"/>
      <c r="Q391" s="5"/>
    </row>
    <row r="392" spans="1:17" ht="15">
      <c r="B392" s="88"/>
      <c r="C392" s="89"/>
      <c r="D392" s="90"/>
      <c r="E392" s="90"/>
      <c r="F392" s="91"/>
      <c r="G392" s="158"/>
      <c r="H392" s="280"/>
      <c r="I392" s="280"/>
      <c r="J392" s="60"/>
      <c r="K392" s="60"/>
      <c r="L392" s="61"/>
      <c r="M392" s="61"/>
      <c r="N392" s="279"/>
      <c r="O392" s="279"/>
      <c r="P392" s="5"/>
      <c r="Q392" s="5"/>
    </row>
    <row r="393" spans="1:17" ht="14.1" customHeight="1">
      <c r="A393" s="10"/>
      <c r="B393" s="10"/>
      <c r="C393" s="24"/>
      <c r="D393" s="60"/>
      <c r="F393" s="300"/>
      <c r="G393" s="5"/>
      <c r="H393" s="5"/>
      <c r="I393" s="5"/>
      <c r="J393" s="5"/>
      <c r="K393" s="5"/>
      <c r="L393" s="5"/>
      <c r="M393" s="5"/>
      <c r="N393" s="5"/>
      <c r="O393" s="5"/>
      <c r="P393" s="5"/>
      <c r="Q393" s="5"/>
    </row>
    <row r="394" spans="1:17" ht="15" customHeight="1">
      <c r="A394" s="703" t="s">
        <v>780</v>
      </c>
      <c r="B394" s="704"/>
      <c r="C394" s="704"/>
      <c r="D394" s="60"/>
      <c r="G394" s="5"/>
      <c r="H394" s="5"/>
      <c r="I394" s="5"/>
      <c r="J394" s="5"/>
      <c r="K394" s="5"/>
      <c r="L394" s="5"/>
      <c r="M394" s="5"/>
      <c r="N394" s="5"/>
      <c r="O394" s="5"/>
      <c r="P394" s="5"/>
    </row>
    <row r="395" spans="1:17" ht="15.75" customHeight="1">
      <c r="A395" s="223"/>
      <c r="B395" s="224"/>
      <c r="C395" s="438" t="s">
        <v>197</v>
      </c>
      <c r="D395" s="60"/>
      <c r="G395" s="5"/>
      <c r="H395" s="5"/>
      <c r="I395" s="5"/>
      <c r="J395" s="5"/>
      <c r="K395" s="5"/>
      <c r="L395" s="5"/>
      <c r="M395" s="5"/>
      <c r="N395" s="5"/>
      <c r="O395" s="5"/>
      <c r="P395" s="5"/>
    </row>
    <row r="396" spans="1:17">
      <c r="A396" s="706" t="s">
        <v>781</v>
      </c>
      <c r="B396" s="706"/>
      <c r="C396" s="620">
        <v>95</v>
      </c>
      <c r="D396" s="60"/>
      <c r="E396" s="301"/>
      <c r="G396" s="5"/>
      <c r="H396" s="5"/>
      <c r="I396" s="5"/>
      <c r="J396" s="5"/>
      <c r="K396" s="5"/>
      <c r="L396" s="5"/>
      <c r="M396" s="5"/>
      <c r="N396" s="5"/>
      <c r="O396" s="5"/>
      <c r="P396" s="5"/>
    </row>
    <row r="397" spans="1:17">
      <c r="A397" s="709" t="s">
        <v>782</v>
      </c>
      <c r="B397" s="709"/>
      <c r="C397" s="27">
        <v>41317</v>
      </c>
      <c r="D397" s="60"/>
      <c r="E397" s="301"/>
      <c r="G397" s="5"/>
      <c r="H397" s="5"/>
      <c r="I397" s="5"/>
      <c r="J397" s="5"/>
      <c r="K397" s="5"/>
      <c r="L397" s="5"/>
      <c r="M397" s="5"/>
      <c r="N397" s="5"/>
      <c r="O397" s="5"/>
      <c r="P397" s="5"/>
    </row>
    <row r="398" spans="1:17">
      <c r="A398" s="709" t="s">
        <v>783</v>
      </c>
      <c r="B398" s="709"/>
      <c r="C398" s="620">
        <v>46</v>
      </c>
      <c r="D398" s="60"/>
      <c r="E398" s="301"/>
      <c r="G398" s="5"/>
      <c r="H398" s="5"/>
      <c r="I398" s="5"/>
      <c r="J398" s="5"/>
      <c r="K398" s="5"/>
      <c r="L398" s="5"/>
      <c r="M398" s="5"/>
      <c r="N398" s="5"/>
      <c r="O398" s="5"/>
      <c r="P398" s="5"/>
    </row>
    <row r="399" spans="1:17">
      <c r="A399" s="709" t="s">
        <v>784</v>
      </c>
      <c r="B399" s="709"/>
      <c r="C399" s="27">
        <v>18214</v>
      </c>
      <c r="D399" s="60"/>
      <c r="E399" s="301"/>
      <c r="G399" s="5"/>
      <c r="H399" s="5"/>
      <c r="I399" s="5"/>
      <c r="J399" s="5"/>
      <c r="K399" s="5"/>
      <c r="L399" s="5"/>
      <c r="M399" s="5"/>
      <c r="N399" s="5"/>
      <c r="O399" s="5"/>
      <c r="P399" s="5"/>
    </row>
    <row r="400" spans="1:17" ht="15">
      <c r="A400" s="768" t="s">
        <v>385</v>
      </c>
      <c r="B400" s="768"/>
      <c r="C400" s="440">
        <v>59672</v>
      </c>
      <c r="D400" s="60"/>
      <c r="E400" s="301"/>
      <c r="G400" s="5"/>
      <c r="H400" s="5"/>
      <c r="I400" s="5"/>
      <c r="J400" s="5"/>
      <c r="K400" s="5"/>
      <c r="L400" s="5"/>
      <c r="M400" s="5"/>
      <c r="N400" s="5"/>
      <c r="O400" s="5"/>
      <c r="P400" s="5"/>
    </row>
    <row r="401" spans="1:17" ht="14.1" customHeight="1">
      <c r="B401" s="88"/>
      <c r="C401" s="89"/>
      <c r="D401" s="60"/>
      <c r="F401" s="300"/>
      <c r="G401" s="5"/>
      <c r="H401" s="5"/>
      <c r="I401" s="5"/>
      <c r="J401" s="5"/>
      <c r="K401" s="5"/>
      <c r="L401" s="5"/>
      <c r="M401" s="5"/>
      <c r="N401" s="5"/>
      <c r="O401" s="5"/>
      <c r="P401" s="5"/>
      <c r="Q401" s="5"/>
    </row>
    <row r="402" spans="1:17" ht="14.1" customHeight="1">
      <c r="A402" s="10"/>
      <c r="B402" s="10"/>
      <c r="C402" s="24"/>
      <c r="D402" s="60"/>
      <c r="F402" s="300"/>
      <c r="G402" s="5"/>
      <c r="H402" s="5"/>
      <c r="I402" s="5"/>
      <c r="J402" s="5"/>
      <c r="K402" s="5"/>
      <c r="L402" s="5"/>
      <c r="M402" s="5"/>
      <c r="N402" s="5"/>
      <c r="O402" s="5"/>
      <c r="P402" s="5"/>
      <c r="Q402" s="5"/>
    </row>
    <row r="403" spans="1:17" ht="14.1" customHeight="1">
      <c r="A403" s="703" t="s">
        <v>785</v>
      </c>
      <c r="B403" s="704"/>
      <c r="C403" s="705"/>
      <c r="D403" s="60"/>
      <c r="G403" s="5"/>
      <c r="H403" s="5"/>
      <c r="I403" s="5"/>
      <c r="J403" s="5"/>
      <c r="K403" s="5"/>
      <c r="L403" s="5"/>
      <c r="M403" s="5"/>
      <c r="N403" s="5"/>
      <c r="O403" s="5"/>
      <c r="P403" s="5"/>
      <c r="Q403" s="5"/>
    </row>
    <row r="404" spans="1:17" ht="14.1" customHeight="1">
      <c r="A404" s="223"/>
      <c r="B404" s="224"/>
      <c r="C404" s="438" t="s">
        <v>197</v>
      </c>
      <c r="D404" s="60"/>
      <c r="G404" s="5"/>
      <c r="H404" s="5"/>
      <c r="I404" s="5"/>
      <c r="J404" s="5"/>
      <c r="K404" s="5"/>
      <c r="L404" s="5"/>
      <c r="M404" s="5"/>
      <c r="N404" s="5"/>
      <c r="O404" s="5"/>
      <c r="P404" s="5"/>
      <c r="Q404" s="5"/>
    </row>
    <row r="405" spans="1:17">
      <c r="A405" s="706" t="s">
        <v>786</v>
      </c>
      <c r="B405" s="706"/>
      <c r="C405" s="620">
        <v>0</v>
      </c>
      <c r="D405" s="60"/>
      <c r="G405" s="5"/>
      <c r="H405" s="5"/>
      <c r="I405" s="5"/>
      <c r="J405" s="5"/>
      <c r="K405" s="5"/>
      <c r="L405" s="5"/>
      <c r="M405" s="5"/>
      <c r="N405" s="5"/>
      <c r="O405" s="5"/>
      <c r="P405" s="5"/>
      <c r="Q405" s="5"/>
    </row>
    <row r="406" spans="1:17">
      <c r="A406" s="709" t="s">
        <v>787</v>
      </c>
      <c r="B406" s="709"/>
      <c r="C406" s="620">
        <v>0</v>
      </c>
      <c r="D406" s="60"/>
      <c r="G406" s="5"/>
      <c r="H406" s="5"/>
      <c r="I406" s="5"/>
      <c r="J406" s="5"/>
      <c r="K406" s="5"/>
      <c r="L406" s="5"/>
      <c r="M406" s="5"/>
      <c r="N406" s="5"/>
      <c r="O406" s="5"/>
      <c r="P406" s="5"/>
      <c r="Q406" s="5"/>
    </row>
    <row r="407" spans="1:17">
      <c r="A407" s="709" t="s">
        <v>788</v>
      </c>
      <c r="B407" s="709"/>
      <c r="C407" s="620">
        <v>0</v>
      </c>
      <c r="D407" s="60"/>
      <c r="G407" s="5"/>
      <c r="H407" s="5"/>
      <c r="I407" s="5"/>
      <c r="J407" s="5"/>
      <c r="K407" s="5"/>
      <c r="L407" s="5"/>
      <c r="M407" s="5"/>
      <c r="N407" s="5"/>
      <c r="O407" s="5"/>
      <c r="P407" s="5"/>
      <c r="Q407" s="5"/>
    </row>
    <row r="408" spans="1:17" ht="15">
      <c r="B408" s="88"/>
      <c r="C408" s="89"/>
      <c r="D408" s="90"/>
      <c r="E408" s="90"/>
      <c r="F408" s="91"/>
      <c r="G408" s="158"/>
      <c r="H408" s="280"/>
      <c r="I408" s="280"/>
      <c r="J408" s="60"/>
      <c r="K408" s="60"/>
      <c r="L408" s="61"/>
      <c r="M408" s="61"/>
      <c r="N408" s="279"/>
      <c r="O408" s="279"/>
      <c r="P408" s="5"/>
      <c r="Q408" s="5"/>
    </row>
    <row r="409" spans="1:17">
      <c r="A409" s="10"/>
      <c r="B409" s="10"/>
      <c r="C409" s="24"/>
      <c r="D409" s="60"/>
      <c r="G409" s="5"/>
      <c r="H409" s="5"/>
      <c r="I409" s="5"/>
      <c r="J409" s="5"/>
      <c r="K409" s="5"/>
      <c r="L409" s="5"/>
      <c r="M409" s="5"/>
      <c r="N409" s="5"/>
      <c r="O409" s="5"/>
      <c r="P409" s="5"/>
      <c r="Q409" s="5"/>
    </row>
    <row r="410" spans="1:17" ht="15" customHeight="1">
      <c r="A410" s="703" t="s">
        <v>789</v>
      </c>
      <c r="B410" s="704"/>
      <c r="C410" s="705"/>
      <c r="D410" s="60"/>
      <c r="G410" s="5"/>
      <c r="H410" s="5"/>
      <c r="I410" s="5"/>
      <c r="J410" s="5"/>
      <c r="K410" s="5"/>
      <c r="L410" s="5"/>
      <c r="M410" s="5"/>
      <c r="N410" s="5"/>
      <c r="O410" s="5"/>
      <c r="P410" s="5"/>
      <c r="Q410" s="5"/>
    </row>
    <row r="411" spans="1:17" ht="15.75" customHeight="1">
      <c r="A411" s="223"/>
      <c r="B411" s="224"/>
      <c r="C411" s="438" t="s">
        <v>197</v>
      </c>
      <c r="D411" s="60"/>
      <c r="G411" s="5"/>
      <c r="H411" s="5"/>
      <c r="I411" s="5"/>
      <c r="J411" s="5"/>
      <c r="K411" s="5"/>
      <c r="L411" s="5"/>
      <c r="M411" s="5"/>
      <c r="N411" s="5"/>
      <c r="O411" s="5"/>
      <c r="P411" s="5"/>
    </row>
    <row r="412" spans="1:17" ht="14.1" customHeight="1">
      <c r="A412" s="714" t="s">
        <v>790</v>
      </c>
      <c r="B412" s="714"/>
      <c r="C412" s="27">
        <v>11419</v>
      </c>
      <c r="D412" s="60"/>
      <c r="G412" s="5"/>
      <c r="H412" s="5"/>
      <c r="I412" s="5"/>
      <c r="J412" s="5"/>
      <c r="K412" s="5"/>
      <c r="L412" s="5"/>
      <c r="M412" s="5"/>
      <c r="N412" s="5"/>
      <c r="O412" s="5"/>
      <c r="P412" s="5"/>
      <c r="Q412" s="5"/>
    </row>
    <row r="413" spans="1:17" ht="14.1" customHeight="1">
      <c r="A413" s="714" t="s">
        <v>791</v>
      </c>
      <c r="B413" s="714"/>
      <c r="C413" s="439">
        <v>287</v>
      </c>
      <c r="D413" s="60"/>
      <c r="F413" s="300"/>
      <c r="G413" s="5"/>
      <c r="H413" s="5"/>
      <c r="I413" s="5"/>
      <c r="J413" s="5"/>
      <c r="K413" s="5"/>
      <c r="L413" s="5"/>
      <c r="M413" s="5"/>
      <c r="N413" s="5"/>
      <c r="O413" s="5"/>
      <c r="P413" s="5"/>
      <c r="Q413" s="5"/>
    </row>
    <row r="414" spans="1:17" ht="14.1" customHeight="1">
      <c r="A414" s="710" t="s">
        <v>209</v>
      </c>
      <c r="B414" s="711"/>
      <c r="C414" s="440">
        <v>11707</v>
      </c>
      <c r="D414" s="60"/>
      <c r="F414" s="300"/>
      <c r="G414" s="5"/>
      <c r="H414" s="5"/>
      <c r="I414" s="5"/>
      <c r="J414" s="5"/>
      <c r="K414" s="5"/>
      <c r="L414" s="5"/>
      <c r="M414" s="5"/>
      <c r="N414" s="5"/>
      <c r="O414" s="5"/>
      <c r="P414" s="5"/>
      <c r="Q414" s="5"/>
    </row>
    <row r="415" spans="1:17" ht="14.1" customHeight="1">
      <c r="B415" s="88"/>
      <c r="C415" s="89"/>
      <c r="D415" s="60"/>
      <c r="F415" s="300"/>
      <c r="G415" s="5"/>
      <c r="H415" s="5"/>
      <c r="I415" s="5"/>
      <c r="J415" s="5"/>
      <c r="K415" s="5"/>
      <c r="L415" s="5"/>
      <c r="M415" s="5"/>
      <c r="N415" s="5"/>
      <c r="O415" s="5"/>
      <c r="P415" s="5"/>
      <c r="Q415" s="5"/>
    </row>
    <row r="416" spans="1:17" ht="14.1" customHeight="1">
      <c r="A416" s="10"/>
      <c r="B416" s="10"/>
      <c r="C416" s="24"/>
      <c r="D416" s="60"/>
      <c r="F416" s="300"/>
      <c r="G416" s="5"/>
      <c r="H416" s="5"/>
      <c r="I416" s="5"/>
      <c r="J416" s="5"/>
      <c r="K416" s="5"/>
      <c r="L416" s="5"/>
      <c r="M416" s="5"/>
      <c r="N416" s="5"/>
      <c r="O416" s="5"/>
      <c r="P416" s="5"/>
      <c r="Q416" s="5"/>
    </row>
    <row r="417" spans="1:17" ht="36.75" customHeight="1">
      <c r="A417" s="769" t="s">
        <v>792</v>
      </c>
      <c r="B417" s="770"/>
    </row>
    <row r="418" spans="1:17" ht="15">
      <c r="A418" s="506" t="s">
        <v>793</v>
      </c>
      <c r="B418" s="410">
        <v>19696</v>
      </c>
    </row>
    <row r="419" spans="1:17" ht="28.5">
      <c r="A419" s="506" t="s">
        <v>794</v>
      </c>
      <c r="B419" s="411">
        <v>687</v>
      </c>
    </row>
    <row r="420" spans="1:17" ht="15">
      <c r="A420" s="507" t="s">
        <v>795</v>
      </c>
      <c r="B420" s="416">
        <v>19009</v>
      </c>
    </row>
    <row r="421" spans="1:17" ht="15">
      <c r="A421" s="506" t="s">
        <v>796</v>
      </c>
      <c r="B421" s="410">
        <v>4263</v>
      </c>
    </row>
    <row r="422" spans="1:17" ht="28.5">
      <c r="A422" s="506" t="s">
        <v>797</v>
      </c>
      <c r="B422" s="411">
        <v>204</v>
      </c>
    </row>
    <row r="423" spans="1:17" ht="15">
      <c r="A423" s="507" t="s">
        <v>798</v>
      </c>
      <c r="B423" s="416">
        <v>4059</v>
      </c>
    </row>
    <row r="424" spans="1:17" ht="28.5">
      <c r="A424" s="506" t="s">
        <v>799</v>
      </c>
      <c r="B424" s="410">
        <v>443381</v>
      </c>
    </row>
    <row r="425" spans="1:17" ht="15">
      <c r="A425" s="506" t="s">
        <v>800</v>
      </c>
      <c r="B425" s="410">
        <v>21426</v>
      </c>
    </row>
    <row r="426" spans="1:17" ht="28.5">
      <c r="A426" s="507" t="s">
        <v>801</v>
      </c>
      <c r="B426" s="416">
        <v>421955</v>
      </c>
    </row>
    <row r="427" spans="1:17" customFormat="1" ht="15"/>
    <row r="428" spans="1:17" ht="170.25" customHeight="1">
      <c r="A428" s="707" t="s">
        <v>802</v>
      </c>
      <c r="B428" s="708"/>
      <c r="C428" s="708"/>
      <c r="D428" s="708"/>
      <c r="E428" s="708"/>
      <c r="F428" s="708"/>
      <c r="G428" s="708"/>
      <c r="H428" s="280"/>
      <c r="I428" s="280"/>
      <c r="J428" s="60"/>
      <c r="K428" s="60"/>
      <c r="L428" s="61"/>
      <c r="M428" s="61"/>
      <c r="N428" s="279"/>
      <c r="O428" s="279"/>
      <c r="P428" s="5"/>
      <c r="Q428" s="5"/>
    </row>
    <row r="429" spans="1:17" customFormat="1" ht="15"/>
    <row r="430" spans="1:17"/>
    <row r="431" spans="1:17" customFormat="1" ht="15">
      <c r="A431" s="775" t="s">
        <v>803</v>
      </c>
      <c r="B431" s="775"/>
      <c r="D431" s="60"/>
      <c r="H431" s="334"/>
      <c r="I431" s="334"/>
    </row>
    <row r="432" spans="1:17" customFormat="1" ht="14.85" customHeight="1">
      <c r="A432" s="660" t="s">
        <v>804</v>
      </c>
      <c r="B432" s="661"/>
      <c r="H432" s="334"/>
      <c r="I432" s="334"/>
    </row>
    <row r="433" spans="1:17" customFormat="1" ht="15">
      <c r="A433" s="701" t="s">
        <v>805</v>
      </c>
      <c r="B433" s="702"/>
      <c r="H433" s="334"/>
      <c r="I433" s="334"/>
    </row>
    <row r="434" spans="1:17" customFormat="1" ht="15">
      <c r="A434" s="454" t="s">
        <v>806</v>
      </c>
      <c r="B434" s="23">
        <v>779386</v>
      </c>
      <c r="D434" s="327"/>
      <c r="H434" s="334"/>
      <c r="I434" s="334"/>
    </row>
    <row r="435" spans="1:17" customFormat="1" ht="15">
      <c r="A435" s="618" t="s">
        <v>807</v>
      </c>
      <c r="B435" s="444" t="s">
        <v>808</v>
      </c>
      <c r="E435" s="414"/>
    </row>
    <row r="436" spans="1:17" customFormat="1" ht="28.5">
      <c r="A436" s="618" t="s">
        <v>809</v>
      </c>
      <c r="B436" s="444" t="s">
        <v>810</v>
      </c>
    </row>
    <row r="437" spans="1:17" customFormat="1" ht="28.5">
      <c r="A437" s="618" t="s">
        <v>811</v>
      </c>
      <c r="B437" s="444" t="s">
        <v>812</v>
      </c>
      <c r="E437" s="5"/>
    </row>
    <row r="438" spans="1:17" customFormat="1" ht="28.5">
      <c r="A438" s="618" t="s">
        <v>813</v>
      </c>
      <c r="B438" s="23">
        <v>59672</v>
      </c>
      <c r="I438" s="414"/>
    </row>
    <row r="439" spans="1:17" customFormat="1" ht="28.5">
      <c r="A439" s="80" t="s">
        <v>814</v>
      </c>
      <c r="B439" s="23">
        <v>222647</v>
      </c>
      <c r="I439" s="414"/>
    </row>
    <row r="440" spans="1:17" customFormat="1" ht="28.5">
      <c r="A440" s="80" t="s">
        <v>815</v>
      </c>
      <c r="B440" s="23">
        <v>11051</v>
      </c>
    </row>
    <row r="441" spans="1:17" customFormat="1" ht="28.5">
      <c r="A441" s="80" t="s">
        <v>816</v>
      </c>
      <c r="B441" s="23">
        <v>38887</v>
      </c>
    </row>
    <row r="442" spans="1:17" customFormat="1" ht="15"/>
    <row r="443" spans="1:17" ht="18.75" customHeight="1">
      <c r="A443" s="707" t="s">
        <v>817</v>
      </c>
      <c r="B443" s="708"/>
      <c r="C443" s="708"/>
      <c r="D443" s="708"/>
      <c r="E443" s="708"/>
      <c r="F443" s="708"/>
      <c r="G443" s="708"/>
      <c r="H443" s="280"/>
      <c r="I443" s="280"/>
      <c r="J443" s="60"/>
      <c r="K443" s="60"/>
      <c r="L443" s="61"/>
      <c r="M443" s="61"/>
      <c r="N443" s="279"/>
      <c r="O443" s="279"/>
      <c r="P443" s="5"/>
      <c r="Q443" s="5"/>
    </row>
    <row r="444" spans="1:17"/>
    <row r="446" spans="1:17"/>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6"/>
    <row r="487"/>
    <row r="488"/>
    <row r="489"/>
    <row r="490"/>
    <row r="491"/>
    <row r="492"/>
    <row r="493"/>
    <row r="494"/>
    <row r="495"/>
    <row r="500"/>
    <row r="514"/>
    <row r="516"/>
    <row r="518"/>
    <row r="519"/>
    <row r="521"/>
    <row r="523"/>
    <row r="532"/>
    <row r="542"/>
    <row r="543"/>
    <row r="544"/>
  </sheetData>
  <mergeCells count="105">
    <mergeCell ref="A37:H37"/>
    <mergeCell ref="A400:B400"/>
    <mergeCell ref="A417:B417"/>
    <mergeCell ref="A428:G428"/>
    <mergeCell ref="A443:G443"/>
    <mergeCell ref="A72:A73"/>
    <mergeCell ref="A299:E299"/>
    <mergeCell ref="A431:B431"/>
    <mergeCell ref="A376:G376"/>
    <mergeCell ref="A377:G377"/>
    <mergeCell ref="A378:G378"/>
    <mergeCell ref="A394:C394"/>
    <mergeCell ref="A396:B396"/>
    <mergeCell ref="A397:B397"/>
    <mergeCell ref="A398:B398"/>
    <mergeCell ref="A399:B399"/>
    <mergeCell ref="A307:AA307"/>
    <mergeCell ref="Y310:AA310"/>
    <mergeCell ref="Y309:AA309"/>
    <mergeCell ref="A219:G219"/>
    <mergeCell ref="A220:G220"/>
    <mergeCell ref="A221:G221"/>
    <mergeCell ref="A214:G214"/>
    <mergeCell ref="A215:G215"/>
    <mergeCell ref="I310:L310"/>
    <mergeCell ref="A29:A30"/>
    <mergeCell ref="A68:G68"/>
    <mergeCell ref="A61:C61"/>
    <mergeCell ref="A121:E121"/>
    <mergeCell ref="A163:E163"/>
    <mergeCell ref="A174:J174"/>
    <mergeCell ref="A88:G88"/>
    <mergeCell ref="J72:Q72"/>
    <mergeCell ref="B72:I72"/>
    <mergeCell ref="A159:G159"/>
    <mergeCell ref="A160:G160"/>
    <mergeCell ref="A82:G82"/>
    <mergeCell ref="A83:G83"/>
    <mergeCell ref="A84:G84"/>
    <mergeCell ref="A71:Q71"/>
    <mergeCell ref="A217:G217"/>
    <mergeCell ref="A304:B304"/>
    <mergeCell ref="A38:H38"/>
    <mergeCell ref="A39:H39"/>
    <mergeCell ref="A33:H33"/>
    <mergeCell ref="A34:H34"/>
    <mergeCell ref="A35:H35"/>
    <mergeCell ref="A36:H36"/>
    <mergeCell ref="A2:F2"/>
    <mergeCell ref="A21:A22"/>
    <mergeCell ref="A25:A26"/>
    <mergeCell ref="A27:A28"/>
    <mergeCell ref="A11:A12"/>
    <mergeCell ref="A3:B3"/>
    <mergeCell ref="A13:A14"/>
    <mergeCell ref="A17:A18"/>
    <mergeCell ref="A5:A6"/>
    <mergeCell ref="A9:A10"/>
    <mergeCell ref="Y308:AA308"/>
    <mergeCell ref="A309:S309"/>
    <mergeCell ref="T309:V309"/>
    <mergeCell ref="W309:X309"/>
    <mergeCell ref="A403:C403"/>
    <mergeCell ref="A389:B389"/>
    <mergeCell ref="A91:E91"/>
    <mergeCell ref="A224:E224"/>
    <mergeCell ref="A218:G218"/>
    <mergeCell ref="A157:G157"/>
    <mergeCell ref="A158:G158"/>
    <mergeCell ref="A384:B384"/>
    <mergeCell ref="A385:B385"/>
    <mergeCell ref="A249:I249"/>
    <mergeCell ref="A387:B387"/>
    <mergeCell ref="A361:E361"/>
    <mergeCell ref="A368:E368"/>
    <mergeCell ref="A386:B386"/>
    <mergeCell ref="A382:C382"/>
    <mergeCell ref="O310:S310"/>
    <mergeCell ref="T310:V310"/>
    <mergeCell ref="W310:W311"/>
    <mergeCell ref="A308:X308"/>
    <mergeCell ref="X310:X311"/>
    <mergeCell ref="A433:B433"/>
    <mergeCell ref="A410:C410"/>
    <mergeCell ref="A405:B405"/>
    <mergeCell ref="A115:G115"/>
    <mergeCell ref="A116:G116"/>
    <mergeCell ref="A117:G117"/>
    <mergeCell ref="A118:G118"/>
    <mergeCell ref="A87:G87"/>
    <mergeCell ref="A85:G85"/>
    <mergeCell ref="A86:G86"/>
    <mergeCell ref="A432:B432"/>
    <mergeCell ref="A379:G379"/>
    <mergeCell ref="A406:B406"/>
    <mergeCell ref="A407:B407"/>
    <mergeCell ref="A414:B414"/>
    <mergeCell ref="A391:B391"/>
    <mergeCell ref="A413:B413"/>
    <mergeCell ref="A388:B388"/>
    <mergeCell ref="A412:B412"/>
    <mergeCell ref="A359:E359"/>
    <mergeCell ref="B310:E310"/>
    <mergeCell ref="F310:H310"/>
    <mergeCell ref="A216:G216"/>
  </mergeCells>
  <phoneticPr fontId="23"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T76"/>
  <sheetViews>
    <sheetView topLeftCell="A24" zoomScale="80" zoomScaleNormal="80" workbookViewId="0">
      <selection activeCell="A9" sqref="A9:H9"/>
    </sheetView>
  </sheetViews>
  <sheetFormatPr defaultColWidth="8.42578125" defaultRowHeight="14.25" customHeight="1"/>
  <cols>
    <col min="1" max="1" width="38.42578125" style="1" customWidth="1"/>
    <col min="2" max="2" width="14" style="1" customWidth="1"/>
    <col min="3" max="4" width="13.42578125" style="1" customWidth="1"/>
    <col min="5" max="5" width="14.42578125" style="1" customWidth="1"/>
    <col min="6" max="6" width="14.140625" style="1" customWidth="1"/>
    <col min="7" max="7" width="29.42578125" style="1" customWidth="1"/>
    <col min="8" max="8" width="13.42578125" style="1" customWidth="1"/>
    <col min="9" max="9" width="13" style="1" customWidth="1"/>
    <col min="10" max="10" width="14.42578125" style="1" customWidth="1"/>
    <col min="11" max="16384" width="8.42578125" style="1"/>
  </cols>
  <sheetData>
    <row r="1" spans="1:15" ht="15">
      <c r="A1" s="2" t="s">
        <v>120</v>
      </c>
    </row>
    <row r="2" spans="1:15" ht="15">
      <c r="A2" s="786" t="s">
        <v>818</v>
      </c>
      <c r="B2" s="787"/>
      <c r="C2" s="787"/>
      <c r="D2" s="787"/>
      <c r="E2" s="787"/>
      <c r="F2" s="787"/>
      <c r="G2" s="787"/>
      <c r="H2" s="787"/>
      <c r="I2" s="605"/>
    </row>
    <row r="3" spans="1:15" ht="15">
      <c r="A3" s="29" t="s">
        <v>819</v>
      </c>
      <c r="B3" s="779" t="s">
        <v>820</v>
      </c>
      <c r="C3" s="779"/>
      <c r="D3" s="779"/>
      <c r="E3" s="627" t="s">
        <v>351</v>
      </c>
      <c r="F3" s="627" t="s">
        <v>352</v>
      </c>
      <c r="G3" s="627" t="s">
        <v>214</v>
      </c>
      <c r="H3" s="627" t="s">
        <v>197</v>
      </c>
      <c r="I3" s="605"/>
    </row>
    <row r="4" spans="1:15" ht="63.75" customHeight="1">
      <c r="A4" s="628" t="s">
        <v>821</v>
      </c>
      <c r="B4" s="666" t="s">
        <v>822</v>
      </c>
      <c r="C4" s="780"/>
      <c r="D4" s="780"/>
      <c r="E4" s="275">
        <v>49629</v>
      </c>
      <c r="F4" s="275">
        <v>51584</v>
      </c>
      <c r="G4" s="275">
        <v>59067</v>
      </c>
      <c r="H4" s="164">
        <v>68242</v>
      </c>
      <c r="I4" s="605"/>
    </row>
    <row r="5" spans="1:15" ht="74.849999999999994" customHeight="1">
      <c r="A5" s="454" t="s">
        <v>823</v>
      </c>
      <c r="B5" s="781" t="s">
        <v>824</v>
      </c>
      <c r="C5" s="782"/>
      <c r="D5" s="782"/>
      <c r="E5" s="275">
        <v>79</v>
      </c>
      <c r="F5" s="275">
        <v>170</v>
      </c>
      <c r="G5" s="275">
        <v>556</v>
      </c>
      <c r="H5" s="453" t="s">
        <v>825</v>
      </c>
      <c r="I5" s="605"/>
    </row>
    <row r="6" spans="1:15" ht="28.35" customHeight="1">
      <c r="A6" s="441" t="s">
        <v>826</v>
      </c>
      <c r="B6" s="783"/>
      <c r="C6" s="784"/>
      <c r="D6" s="785"/>
      <c r="E6" s="442">
        <v>49708</v>
      </c>
      <c r="F6" s="164">
        <v>51754</v>
      </c>
      <c r="G6" s="453" t="s">
        <v>827</v>
      </c>
      <c r="H6" s="164">
        <v>69350</v>
      </c>
      <c r="I6" s="605"/>
    </row>
    <row r="7" spans="1:15" s="452" customFormat="1" ht="15"/>
    <row r="8" spans="1:15" ht="17.25" customHeight="1">
      <c r="A8" s="767" t="s">
        <v>828</v>
      </c>
      <c r="B8" s="767"/>
      <c r="C8" s="767"/>
      <c r="D8" s="767"/>
      <c r="E8" s="767"/>
      <c r="F8" s="767"/>
      <c r="G8" s="767"/>
      <c r="H8" s="767"/>
      <c r="I8" s="5"/>
      <c r="J8" s="5"/>
      <c r="K8" s="5"/>
      <c r="L8" s="5"/>
      <c r="M8" s="5"/>
      <c r="N8" s="5"/>
      <c r="O8" s="5"/>
    </row>
    <row r="9" spans="1:15" ht="29.45" customHeight="1">
      <c r="A9" s="767" t="s">
        <v>829</v>
      </c>
      <c r="B9" s="767"/>
      <c r="C9" s="767"/>
      <c r="D9" s="767"/>
      <c r="E9" s="767"/>
      <c r="F9" s="767"/>
      <c r="G9" s="767"/>
      <c r="H9" s="767"/>
      <c r="I9" s="5"/>
      <c r="J9" s="5"/>
      <c r="K9" s="5"/>
      <c r="L9" s="5"/>
      <c r="M9" s="5"/>
      <c r="N9" s="5"/>
      <c r="O9" s="5"/>
    </row>
    <row r="10" spans="1:15" ht="29.45" customHeight="1">
      <c r="A10" s="767" t="s">
        <v>830</v>
      </c>
      <c r="B10" s="767"/>
      <c r="C10" s="767"/>
      <c r="D10" s="767"/>
      <c r="E10" s="767"/>
      <c r="F10" s="767"/>
      <c r="G10" s="767"/>
      <c r="H10" s="767"/>
      <c r="I10" s="5"/>
      <c r="J10" s="5"/>
      <c r="K10" s="5"/>
      <c r="L10" s="5"/>
      <c r="M10" s="5"/>
      <c r="N10" s="5"/>
      <c r="O10" s="5"/>
    </row>
    <row r="11" spans="1:15" s="452" customFormat="1" ht="15"/>
    <row r="12" spans="1:15" s="452" customFormat="1" ht="15"/>
    <row r="13" spans="1:15" ht="15">
      <c r="A13" s="786" t="s">
        <v>831</v>
      </c>
      <c r="B13" s="787"/>
      <c r="C13" s="787"/>
      <c r="D13" s="787"/>
      <c r="E13" s="136"/>
      <c r="G13" s="452"/>
    </row>
    <row r="14" spans="1:15" ht="15">
      <c r="A14" s="17"/>
      <c r="B14" s="39" t="s">
        <v>351</v>
      </c>
      <c r="C14" s="39" t="s">
        <v>352</v>
      </c>
      <c r="D14" s="39" t="s">
        <v>214</v>
      </c>
      <c r="E14" s="39" t="s">
        <v>197</v>
      </c>
      <c r="G14" s="452"/>
    </row>
    <row r="15" spans="1:15" ht="21.75" customHeight="1">
      <c r="A15" s="159" t="s">
        <v>832</v>
      </c>
      <c r="B15" s="160"/>
      <c r="C15" s="162"/>
      <c r="D15" s="162"/>
      <c r="E15" s="162"/>
      <c r="G15" s="452"/>
      <c r="H15" s="92"/>
    </row>
    <row r="16" spans="1:15" ht="15">
      <c r="A16" s="35" t="s">
        <v>428</v>
      </c>
      <c r="B16" s="56">
        <v>36712.502708172775</v>
      </c>
      <c r="C16" s="56">
        <v>33856.383539023002</v>
      </c>
      <c r="D16" s="56">
        <v>33794.776083828001</v>
      </c>
      <c r="E16" s="53">
        <v>38855.844641501011</v>
      </c>
      <c r="G16" s="452"/>
      <c r="H16" s="258"/>
      <c r="I16" s="258"/>
      <c r="J16" s="326"/>
    </row>
    <row r="17" spans="1:10" ht="15">
      <c r="A17" s="35" t="s">
        <v>833</v>
      </c>
      <c r="B17" s="56">
        <v>116.964</v>
      </c>
      <c r="C17" s="56">
        <v>86.052173449999984</v>
      </c>
      <c r="D17" s="56">
        <v>137.932374237</v>
      </c>
      <c r="E17" s="53">
        <v>73.787134254999998</v>
      </c>
      <c r="G17" s="452"/>
      <c r="H17" s="420"/>
      <c r="I17" s="420"/>
      <c r="J17" s="326"/>
    </row>
    <row r="18" spans="1:10" ht="15">
      <c r="A18" s="35" t="s">
        <v>834</v>
      </c>
      <c r="B18" s="56">
        <v>1637.4015343124838</v>
      </c>
      <c r="C18" s="56">
        <v>2214.1503029739997</v>
      </c>
      <c r="D18" s="56">
        <v>3001.0126887300003</v>
      </c>
      <c r="E18" s="53">
        <v>3617.6174974439996</v>
      </c>
      <c r="G18" s="452"/>
      <c r="H18" s="420"/>
      <c r="I18" s="420"/>
    </row>
    <row r="19" spans="1:10" ht="15">
      <c r="A19" s="35" t="s">
        <v>835</v>
      </c>
      <c r="B19" s="56">
        <v>3664.424312839411</v>
      </c>
      <c r="C19" s="56">
        <v>3663.4775686150001</v>
      </c>
      <c r="D19" s="56">
        <v>3147.7835900559999</v>
      </c>
      <c r="E19" s="53">
        <v>3680.3944338029996</v>
      </c>
      <c r="G19" s="452"/>
      <c r="H19" s="258"/>
      <c r="I19" s="258"/>
    </row>
    <row r="20" spans="1:10" ht="15">
      <c r="A20" s="35" t="s">
        <v>209</v>
      </c>
      <c r="B20" s="157">
        <v>42131.29255532469</v>
      </c>
      <c r="C20" s="157">
        <v>39820.063584062002</v>
      </c>
      <c r="D20" s="157">
        <v>40081.504736850999</v>
      </c>
      <c r="E20" s="53">
        <v>46227.643707003001</v>
      </c>
      <c r="G20" s="452"/>
      <c r="H20" s="258"/>
      <c r="I20" s="258"/>
    </row>
    <row r="21" spans="1:10" ht="22.5" customHeight="1">
      <c r="A21" s="66" t="s">
        <v>836</v>
      </c>
      <c r="B21" s="328"/>
      <c r="C21" s="329"/>
      <c r="D21" s="329"/>
      <c r="E21" s="330"/>
      <c r="G21" s="452"/>
      <c r="H21" s="258"/>
      <c r="I21" s="258"/>
    </row>
    <row r="22" spans="1:10" ht="15">
      <c r="A22" s="35" t="s">
        <v>428</v>
      </c>
      <c r="B22" s="54">
        <v>1661.0066364724996</v>
      </c>
      <c r="C22" s="54">
        <v>1156.9838880169812</v>
      </c>
      <c r="D22" s="54">
        <v>1945.6133364480065</v>
      </c>
      <c r="E22" s="53">
        <v>1646.2970460777833</v>
      </c>
      <c r="G22" s="452"/>
      <c r="H22" s="258"/>
      <c r="I22" s="258"/>
    </row>
    <row r="23" spans="1:10" ht="15">
      <c r="A23" s="35" t="s">
        <v>833</v>
      </c>
      <c r="B23" s="54">
        <v>1042.7053789043021</v>
      </c>
      <c r="C23" s="54">
        <v>696.44029891772698</v>
      </c>
      <c r="D23" s="54">
        <v>1002.8992510092443</v>
      </c>
      <c r="E23" s="53">
        <v>1466.7364317868828</v>
      </c>
      <c r="G23" s="452"/>
      <c r="H23" s="258"/>
      <c r="I23" s="258"/>
    </row>
    <row r="24" spans="1:10" ht="15">
      <c r="A24" s="35" t="s">
        <v>834</v>
      </c>
      <c r="B24" s="54">
        <v>0</v>
      </c>
      <c r="C24" s="54">
        <v>1.8224416377430002</v>
      </c>
      <c r="D24" s="56">
        <v>111.297</v>
      </c>
      <c r="E24" s="53">
        <v>82.406000000000006</v>
      </c>
      <c r="G24" s="452"/>
      <c r="H24" s="258"/>
      <c r="I24" s="258"/>
    </row>
    <row r="25" spans="1:10" ht="15">
      <c r="A25" s="35" t="s">
        <v>835</v>
      </c>
      <c r="B25" s="54">
        <v>2141.7912488501374</v>
      </c>
      <c r="C25" s="54">
        <v>844.45832578856903</v>
      </c>
      <c r="D25" s="54">
        <v>882.60097032595127</v>
      </c>
      <c r="E25" s="53">
        <v>970.21856905951938</v>
      </c>
      <c r="G25" s="452"/>
      <c r="H25" s="258"/>
      <c r="I25" s="258"/>
    </row>
    <row r="26" spans="1:10" ht="15">
      <c r="A26" s="35" t="s">
        <v>209</v>
      </c>
      <c r="B26" s="53">
        <v>4845.5032642269371</v>
      </c>
      <c r="C26" s="53">
        <v>2699.7049543610246</v>
      </c>
      <c r="D26" s="53">
        <v>3942.4105577832033</v>
      </c>
      <c r="E26" s="53">
        <v>4165.658046924189</v>
      </c>
      <c r="G26" s="452"/>
      <c r="H26" s="258"/>
      <c r="I26" s="258"/>
    </row>
    <row r="27" spans="1:10" ht="26.25" customHeight="1">
      <c r="A27" s="451" t="s">
        <v>837</v>
      </c>
      <c r="B27" s="331"/>
      <c r="C27" s="332"/>
      <c r="D27" s="332"/>
      <c r="E27" s="330"/>
      <c r="G27" s="452"/>
      <c r="H27" s="258"/>
      <c r="I27" s="258"/>
    </row>
    <row r="28" spans="1:10" ht="15">
      <c r="A28" s="8" t="s">
        <v>428</v>
      </c>
      <c r="B28" s="56">
        <v>49629</v>
      </c>
      <c r="C28" s="54">
        <v>51584</v>
      </c>
      <c r="D28" s="54">
        <v>59067</v>
      </c>
      <c r="E28" s="53">
        <v>68495</v>
      </c>
      <c r="G28" s="452"/>
      <c r="H28" s="258"/>
      <c r="I28" s="258"/>
    </row>
    <row r="29" spans="1:10" ht="15">
      <c r="A29" s="620" t="s">
        <v>834</v>
      </c>
      <c r="B29" s="54">
        <v>60675</v>
      </c>
      <c r="C29" s="54">
        <v>50968</v>
      </c>
      <c r="D29" s="54">
        <v>50078</v>
      </c>
      <c r="E29" s="53">
        <v>49916</v>
      </c>
      <c r="G29" s="452"/>
      <c r="H29" s="258"/>
      <c r="I29" s="258"/>
    </row>
    <row r="30" spans="1:10" ht="15">
      <c r="A30" s="620" t="s">
        <v>838</v>
      </c>
      <c r="B30" s="54">
        <v>429</v>
      </c>
      <c r="C30" s="54" t="s">
        <v>839</v>
      </c>
      <c r="D30" s="54" t="s">
        <v>839</v>
      </c>
      <c r="E30" s="53" t="s">
        <v>498</v>
      </c>
      <c r="G30" s="452"/>
      <c r="H30" s="258"/>
      <c r="I30" s="258"/>
    </row>
    <row r="31" spans="1:10" ht="15">
      <c r="A31" s="35" t="s">
        <v>209</v>
      </c>
      <c r="B31" s="53">
        <v>110733</v>
      </c>
      <c r="C31" s="53">
        <v>102553</v>
      </c>
      <c r="D31" s="174">
        <v>109144</v>
      </c>
      <c r="E31" s="174">
        <v>118411</v>
      </c>
      <c r="G31" s="452"/>
      <c r="H31" s="258"/>
      <c r="I31" s="258"/>
    </row>
    <row r="32" spans="1:10" ht="26.25" customHeight="1">
      <c r="A32" s="451" t="s">
        <v>840</v>
      </c>
      <c r="B32" s="331"/>
      <c r="C32" s="332"/>
      <c r="D32" s="332"/>
      <c r="E32" s="330"/>
      <c r="G32" s="452"/>
      <c r="H32" s="258"/>
      <c r="I32" s="258"/>
    </row>
    <row r="33" spans="1:15" ht="15">
      <c r="A33" s="620" t="s">
        <v>428</v>
      </c>
      <c r="B33" s="23">
        <v>20076</v>
      </c>
      <c r="C33" s="23">
        <v>14557</v>
      </c>
      <c r="D33" s="23">
        <v>21309</v>
      </c>
      <c r="E33" s="333">
        <v>26422</v>
      </c>
      <c r="G33" s="452"/>
      <c r="H33" s="258"/>
      <c r="I33" s="258"/>
    </row>
    <row r="34" spans="1:15" ht="15">
      <c r="A34" s="620" t="s">
        <v>841</v>
      </c>
      <c r="B34" s="23">
        <v>2371</v>
      </c>
      <c r="C34" s="23">
        <v>2540</v>
      </c>
      <c r="D34" s="23">
        <v>2827</v>
      </c>
      <c r="E34" s="333">
        <v>2476</v>
      </c>
      <c r="G34" s="452"/>
      <c r="H34" s="258"/>
      <c r="I34" s="258"/>
    </row>
    <row r="35" spans="1:15" ht="15">
      <c r="A35" s="620" t="s">
        <v>838</v>
      </c>
      <c r="B35" s="23">
        <v>924</v>
      </c>
      <c r="C35" s="23">
        <v>387</v>
      </c>
      <c r="D35" s="23">
        <v>409</v>
      </c>
      <c r="E35" s="333" t="s">
        <v>842</v>
      </c>
      <c r="H35" s="258"/>
      <c r="I35" s="258"/>
    </row>
    <row r="36" spans="1:15" ht="15">
      <c r="A36" s="35" t="s">
        <v>209</v>
      </c>
      <c r="B36" s="333">
        <v>23371</v>
      </c>
      <c r="C36" s="333">
        <v>17484</v>
      </c>
      <c r="D36" s="333">
        <v>24545</v>
      </c>
      <c r="E36" s="333">
        <v>28898</v>
      </c>
      <c r="H36" s="258"/>
      <c r="I36" s="258"/>
    </row>
    <row r="37" spans="1:15" ht="26.25" customHeight="1">
      <c r="A37" s="161" t="s">
        <v>505</v>
      </c>
      <c r="B37" s="331"/>
      <c r="C37" s="332"/>
      <c r="D37" s="332"/>
      <c r="E37" s="330"/>
      <c r="H37" s="258"/>
      <c r="I37" s="258"/>
    </row>
    <row r="38" spans="1:15" ht="15">
      <c r="A38" s="620" t="s">
        <v>428</v>
      </c>
      <c r="B38" s="23">
        <v>44339.160373543542</v>
      </c>
      <c r="C38" s="23">
        <v>32780.264648849254</v>
      </c>
      <c r="D38" s="23">
        <v>28458.312717068722</v>
      </c>
      <c r="E38" s="333">
        <v>24193.278916648986</v>
      </c>
      <c r="H38" s="258"/>
      <c r="I38" s="258"/>
    </row>
    <row r="39" spans="1:15" ht="15">
      <c r="A39" s="620" t="s">
        <v>841</v>
      </c>
      <c r="B39" s="23">
        <v>181.70139233924601</v>
      </c>
      <c r="C39" s="23">
        <v>169.31968141620501</v>
      </c>
      <c r="D39" s="23">
        <v>11.391065187029</v>
      </c>
      <c r="E39" s="333">
        <v>0</v>
      </c>
      <c r="H39" s="258"/>
      <c r="I39" s="258"/>
    </row>
    <row r="40" spans="1:15" ht="15">
      <c r="A40" s="620" t="s">
        <v>838</v>
      </c>
      <c r="B40" s="23">
        <v>1284.1150098658479</v>
      </c>
      <c r="C40" s="23">
        <v>956.50792065581834</v>
      </c>
      <c r="D40" s="23">
        <v>816.34016726514426</v>
      </c>
      <c r="E40" s="333">
        <v>578.26450081668611</v>
      </c>
      <c r="H40" s="258"/>
      <c r="I40" s="258"/>
    </row>
    <row r="41" spans="1:15" ht="15">
      <c r="A41" s="35" t="s">
        <v>209</v>
      </c>
      <c r="B41" s="333">
        <v>45804.976775748619</v>
      </c>
      <c r="C41" s="333">
        <v>33906.092250921283</v>
      </c>
      <c r="D41" s="333">
        <v>29286.043949520896</v>
      </c>
      <c r="E41" s="333">
        <v>24771.543417465658</v>
      </c>
      <c r="H41" s="258"/>
      <c r="I41" s="258"/>
    </row>
    <row r="42" spans="1:15" ht="15">
      <c r="A42" s="225"/>
      <c r="B42" s="57"/>
      <c r="C42" s="57"/>
      <c r="D42" s="57"/>
      <c r="E42" s="57"/>
      <c r="H42" s="73"/>
    </row>
    <row r="43" spans="1:15" ht="15">
      <c r="A43" s="225"/>
      <c r="B43" s="57"/>
      <c r="C43" s="57"/>
      <c r="D43" s="57"/>
      <c r="E43" s="57"/>
      <c r="H43" s="73"/>
    </row>
    <row r="44" spans="1:15" ht="29.1" customHeight="1">
      <c r="A44" s="761" t="s">
        <v>843</v>
      </c>
      <c r="B44" s="793"/>
      <c r="C44" s="793"/>
      <c r="D44" s="793"/>
      <c r="H44" s="73"/>
    </row>
    <row r="45" spans="1:15" ht="14.45" customHeight="1">
      <c r="A45" s="106"/>
      <c r="B45" s="791" t="s">
        <v>197</v>
      </c>
      <c r="C45" s="791"/>
      <c r="D45" s="792"/>
    </row>
    <row r="46" spans="1:15">
      <c r="A46" s="35" t="s">
        <v>844</v>
      </c>
      <c r="B46" s="788">
        <v>14509</v>
      </c>
      <c r="C46" s="789"/>
      <c r="D46" s="790"/>
    </row>
    <row r="47" spans="1:15" ht="15">
      <c r="A47" s="225"/>
      <c r="B47" s="57"/>
      <c r="C47" s="57"/>
      <c r="D47" s="57"/>
      <c r="E47" s="57"/>
      <c r="H47" s="73"/>
    </row>
    <row r="48" spans="1:15" ht="16.5" customHeight="1">
      <c r="A48" s="767" t="s">
        <v>845</v>
      </c>
      <c r="B48" s="767"/>
      <c r="C48" s="767"/>
      <c r="D48" s="767"/>
      <c r="E48" s="767"/>
      <c r="F48" s="767"/>
      <c r="G48" s="767"/>
      <c r="H48" s="585"/>
      <c r="I48" s="5"/>
      <c r="J48" s="5"/>
      <c r="K48" s="5"/>
      <c r="L48" s="5"/>
      <c r="M48" s="5"/>
      <c r="N48" s="5"/>
      <c r="O48" s="5"/>
    </row>
    <row r="49" spans="1:20" ht="69" customHeight="1">
      <c r="A49" s="767" t="s">
        <v>846</v>
      </c>
      <c r="B49" s="767"/>
      <c r="C49" s="767"/>
      <c r="D49" s="767"/>
      <c r="E49" s="767"/>
      <c r="F49" s="767"/>
      <c r="G49" s="767"/>
      <c r="H49" s="605"/>
      <c r="I49" s="605"/>
    </row>
    <row r="50" spans="1:20">
      <c r="A50" s="615"/>
      <c r="B50" s="615"/>
      <c r="C50" s="615"/>
      <c r="D50" s="615"/>
      <c r="E50" s="615"/>
      <c r="F50" s="615"/>
      <c r="G50" s="605"/>
      <c r="H50" s="605"/>
      <c r="I50" s="605"/>
    </row>
    <row r="51" spans="1:20"/>
    <row r="52" spans="1:20"/>
    <row r="53" spans="1:20"/>
    <row r="54" spans="1:20"/>
    <row r="55" spans="1:20"/>
    <row r="56" spans="1:20">
      <c r="I56" s="605"/>
    </row>
    <row r="57" spans="1:20">
      <c r="I57" s="605"/>
      <c r="T57" s="243"/>
    </row>
    <row r="58" spans="1:20">
      <c r="I58" s="605"/>
    </row>
    <row r="59" spans="1:20">
      <c r="A59" s="244"/>
      <c r="I59" s="605"/>
    </row>
    <row r="60" spans="1:20">
      <c r="I60" s="605"/>
    </row>
    <row r="61" spans="1:20">
      <c r="I61" s="605"/>
    </row>
    <row r="62" spans="1:20">
      <c r="I62" s="605"/>
    </row>
    <row r="63" spans="1:20">
      <c r="I63" s="605"/>
    </row>
    <row r="64" spans="1:20">
      <c r="I64" s="605"/>
    </row>
    <row r="65" spans="9:9">
      <c r="I65" s="605"/>
    </row>
    <row r="66" spans="9:9"/>
    <row r="69" spans="9:9"/>
    <row r="70" spans="9:9"/>
    <row r="71" spans="9:9"/>
    <row r="72" spans="9:9"/>
    <row r="73" spans="9:9"/>
    <row r="74" spans="9:9"/>
    <row r="75" spans="9:9"/>
    <row r="76" spans="9:9"/>
  </sheetData>
  <mergeCells count="14">
    <mergeCell ref="A8:H8"/>
    <mergeCell ref="A10:H10"/>
    <mergeCell ref="A9:H9"/>
    <mergeCell ref="A49:G49"/>
    <mergeCell ref="A13:D13"/>
    <mergeCell ref="B46:D46"/>
    <mergeCell ref="B45:D45"/>
    <mergeCell ref="A44:D44"/>
    <mergeCell ref="A48:G48"/>
    <mergeCell ref="B3:D3"/>
    <mergeCell ref="B4:D4"/>
    <mergeCell ref="B5:D5"/>
    <mergeCell ref="B6:D6"/>
    <mergeCell ref="A2:H2"/>
  </mergeCells>
  <phoneticPr fontId="23"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T31"/>
  <sheetViews>
    <sheetView zoomScale="80" zoomScaleNormal="80" workbookViewId="0">
      <selection activeCell="G24" sqref="G24"/>
    </sheetView>
  </sheetViews>
  <sheetFormatPr defaultColWidth="8.42578125" defaultRowHeight="14.1"/>
  <cols>
    <col min="1" max="1" width="36.42578125" style="1" customWidth="1"/>
    <col min="2" max="2" width="19.42578125" style="5" customWidth="1"/>
    <col min="3" max="3" width="19.140625" style="5" customWidth="1"/>
    <col min="4" max="4" width="14" style="5" customWidth="1"/>
    <col min="5" max="5" width="14.42578125" style="5" customWidth="1"/>
    <col min="6" max="6" width="14.42578125" style="1" customWidth="1"/>
    <col min="7" max="7" width="33.42578125" style="1" customWidth="1"/>
    <col min="8" max="8" width="10.140625" style="1" bestFit="1" customWidth="1"/>
    <col min="9" max="16384" width="8.42578125" style="1"/>
  </cols>
  <sheetData>
    <row r="1" spans="1:20">
      <c r="A1" s="2" t="s">
        <v>139</v>
      </c>
      <c r="B1" s="4"/>
      <c r="C1" s="4"/>
      <c r="D1" s="4"/>
      <c r="E1" s="4"/>
      <c r="F1" s="4"/>
    </row>
    <row r="2" spans="1:20" ht="14.1" customHeight="1">
      <c r="A2" s="795" t="s">
        <v>847</v>
      </c>
      <c r="B2" s="796"/>
      <c r="C2" s="796"/>
      <c r="D2" s="796"/>
      <c r="E2" s="796"/>
      <c r="F2" s="4"/>
    </row>
    <row r="3" spans="1:20" ht="15">
      <c r="A3" s="17"/>
      <c r="B3" s="39" t="s">
        <v>351</v>
      </c>
      <c r="C3" s="37" t="s">
        <v>352</v>
      </c>
      <c r="D3" s="37" t="s">
        <v>214</v>
      </c>
      <c r="E3" s="37" t="s">
        <v>197</v>
      </c>
      <c r="F3" s="262"/>
    </row>
    <row r="4" spans="1:20" ht="21" customHeight="1">
      <c r="A4" s="805" t="s">
        <v>848</v>
      </c>
      <c r="B4" s="806"/>
      <c r="C4" s="806"/>
      <c r="D4" s="806"/>
      <c r="E4" s="806"/>
    </row>
    <row r="5" spans="1:20" ht="15">
      <c r="A5" s="40" t="s">
        <v>849</v>
      </c>
      <c r="B5" s="259">
        <v>13277.600739740385</v>
      </c>
      <c r="C5" s="260">
        <v>13067.475122656646</v>
      </c>
      <c r="D5" s="259">
        <v>13386.704229198722</v>
      </c>
      <c r="E5" s="174">
        <v>11936.813517826868</v>
      </c>
      <c r="F5" s="253"/>
    </row>
    <row r="6" spans="1:20">
      <c r="A6" s="620" t="s">
        <v>850</v>
      </c>
      <c r="B6" s="259">
        <v>4804.4873400122597</v>
      </c>
      <c r="C6" s="260">
        <v>4391.4210767903023</v>
      </c>
      <c r="D6" s="259">
        <v>5795.353292719903</v>
      </c>
      <c r="E6" s="174">
        <v>4598.8699600757836</v>
      </c>
    </row>
    <row r="7" spans="1:20">
      <c r="A7" s="620" t="s">
        <v>851</v>
      </c>
      <c r="B7" s="259">
        <v>2102.3565333865381</v>
      </c>
      <c r="C7" s="260">
        <v>1466.8844318946472</v>
      </c>
      <c r="D7" s="259">
        <v>1733.3060433099072</v>
      </c>
      <c r="E7" s="174">
        <v>1697.757694655787</v>
      </c>
    </row>
    <row r="8" spans="1:20">
      <c r="A8" s="620" t="s">
        <v>852</v>
      </c>
      <c r="B8" s="259">
        <v>34.459346883402006</v>
      </c>
      <c r="C8" s="259">
        <v>16.525298371247999</v>
      </c>
      <c r="D8" s="259">
        <v>12.780425450256399</v>
      </c>
      <c r="E8" s="174">
        <v>12.0146648978351</v>
      </c>
    </row>
    <row r="9" spans="1:20">
      <c r="A9" s="620" t="s">
        <v>853</v>
      </c>
      <c r="B9" s="259">
        <v>390.59100536968191</v>
      </c>
      <c r="C9" s="259">
        <v>395.69868711099292</v>
      </c>
      <c r="D9" s="259">
        <v>305.30030879061326</v>
      </c>
      <c r="E9" s="174">
        <v>323.25247321532191</v>
      </c>
      <c r="H9" s="261"/>
    </row>
    <row r="10" spans="1:20" ht="19.5" customHeight="1">
      <c r="A10" s="36" t="s">
        <v>854</v>
      </c>
      <c r="B10" s="174">
        <f>SUM(B5:B9)</f>
        <v>20609.494965392267</v>
      </c>
      <c r="C10" s="174">
        <f t="shared" ref="C10:E10" si="0">SUM(C5:C9)</f>
        <v>19338.004616823837</v>
      </c>
      <c r="D10" s="174">
        <f t="shared" si="0"/>
        <v>21233.4442994694</v>
      </c>
      <c r="E10" s="174">
        <f t="shared" si="0"/>
        <v>18568.708310671591</v>
      </c>
    </row>
    <row r="11" spans="1:20" ht="14.1" customHeight="1"/>
    <row r="12" spans="1:20" ht="15" customHeight="1">
      <c r="A12" s="615"/>
      <c r="B12" s="615"/>
      <c r="C12" s="615"/>
      <c r="D12" s="615"/>
      <c r="E12" s="605"/>
      <c r="F12" s="605"/>
      <c r="H12" s="605"/>
      <c r="I12" s="605"/>
      <c r="J12" s="605"/>
      <c r="K12" s="605"/>
      <c r="L12" s="605"/>
      <c r="M12" s="605"/>
      <c r="N12" s="605"/>
    </row>
    <row r="13" spans="1:20" ht="18" customHeight="1">
      <c r="A13" s="797" t="s">
        <v>855</v>
      </c>
      <c r="B13" s="798"/>
      <c r="C13" s="798"/>
      <c r="D13" s="798"/>
      <c r="E13" s="798"/>
      <c r="F13" s="5"/>
      <c r="H13" s="5"/>
      <c r="I13" s="5"/>
      <c r="J13" s="5"/>
      <c r="K13" s="5"/>
      <c r="L13" s="5"/>
      <c r="M13" s="5"/>
      <c r="N13" s="5"/>
      <c r="O13" s="5"/>
      <c r="P13" s="5"/>
      <c r="Q13" s="5"/>
      <c r="R13" s="5"/>
      <c r="S13" s="5"/>
      <c r="T13" s="5"/>
    </row>
    <row r="14" spans="1:20" ht="15">
      <c r="A14" s="169"/>
      <c r="B14" s="170" t="s">
        <v>351</v>
      </c>
      <c r="C14" s="172" t="s">
        <v>553</v>
      </c>
      <c r="D14" s="172" t="s">
        <v>214</v>
      </c>
      <c r="E14" s="254" t="s">
        <v>197</v>
      </c>
      <c r="F14" s="263"/>
      <c r="H14" s="5"/>
      <c r="I14" s="5"/>
      <c r="J14" s="5"/>
      <c r="K14" s="5"/>
      <c r="L14" s="5"/>
      <c r="M14" s="5"/>
      <c r="N14" s="5"/>
      <c r="O14" s="5"/>
      <c r="P14" s="5"/>
      <c r="Q14" s="5"/>
      <c r="R14" s="5"/>
      <c r="S14" s="5"/>
    </row>
    <row r="15" spans="1:20" ht="15.75" customHeight="1">
      <c r="A15" s="617" t="s">
        <v>856</v>
      </c>
      <c r="B15" s="173" t="s">
        <v>857</v>
      </c>
      <c r="C15" s="173" t="s">
        <v>858</v>
      </c>
      <c r="D15" s="173" t="s">
        <v>859</v>
      </c>
      <c r="E15" s="173" t="s">
        <v>860</v>
      </c>
      <c r="F15" s="253"/>
      <c r="H15" s="5"/>
      <c r="I15" s="5"/>
      <c r="J15" s="5"/>
      <c r="K15" s="5"/>
      <c r="L15" s="5"/>
      <c r="M15" s="5"/>
      <c r="N15" s="5"/>
      <c r="O15" s="5"/>
      <c r="P15" s="5"/>
      <c r="Q15" s="5"/>
      <c r="R15" s="5"/>
      <c r="S15" s="5"/>
    </row>
    <row r="16" spans="1:20" ht="15">
      <c r="A16" s="19" t="s">
        <v>861</v>
      </c>
      <c r="B16" s="385">
        <v>0</v>
      </c>
      <c r="C16" s="385" t="s">
        <v>862</v>
      </c>
      <c r="D16" s="385" t="s">
        <v>862</v>
      </c>
      <c r="E16" s="385" t="s">
        <v>862</v>
      </c>
    </row>
    <row r="17" spans="1:9">
      <c r="A17" s="450" t="s">
        <v>863</v>
      </c>
      <c r="B17" s="385">
        <v>0</v>
      </c>
      <c r="C17" s="385">
        <v>0</v>
      </c>
      <c r="D17" s="385">
        <v>0</v>
      </c>
      <c r="E17" s="385" t="s">
        <v>864</v>
      </c>
    </row>
    <row r="18" spans="1:9" ht="15">
      <c r="A18" s="19" t="s">
        <v>209</v>
      </c>
      <c r="B18" s="386" t="s">
        <v>857</v>
      </c>
      <c r="C18" s="386" t="s">
        <v>858</v>
      </c>
      <c r="D18" s="386" t="s">
        <v>865</v>
      </c>
      <c r="E18" s="386" t="s">
        <v>146</v>
      </c>
    </row>
    <row r="19" spans="1:9">
      <c r="C19" s="78"/>
    </row>
    <row r="21" spans="1:9" customFormat="1" ht="15">
      <c r="A21" s="2" t="s">
        <v>803</v>
      </c>
      <c r="G21" s="1"/>
    </row>
    <row r="22" spans="1:9">
      <c r="A22" s="801" t="s">
        <v>866</v>
      </c>
      <c r="B22" s="802"/>
      <c r="C22" s="802"/>
      <c r="D22" s="802"/>
    </row>
    <row r="23" spans="1:9" ht="31.5" customHeight="1">
      <c r="A23" s="226"/>
      <c r="B23" s="227"/>
      <c r="C23" s="800" t="s">
        <v>867</v>
      </c>
      <c r="D23" s="800"/>
      <c r="E23" s="267"/>
    </row>
    <row r="24" spans="1:9" ht="42" customHeight="1">
      <c r="A24" s="799" t="s">
        <v>868</v>
      </c>
      <c r="B24" s="799"/>
      <c r="C24" s="803">
        <v>2025000</v>
      </c>
      <c r="D24" s="804"/>
      <c r="E24" s="1"/>
    </row>
    <row r="27" spans="1:9" ht="14.25" customHeight="1">
      <c r="A27" s="807" t="s">
        <v>869</v>
      </c>
      <c r="B27" s="807"/>
      <c r="C27" s="807"/>
      <c r="D27" s="807"/>
      <c r="E27" s="807"/>
      <c r="F27" s="807"/>
      <c r="G27" s="807"/>
      <c r="H27" s="807"/>
      <c r="I27" s="807"/>
    </row>
    <row r="28" spans="1:9" ht="44.1" customHeight="1">
      <c r="A28" s="794" t="s">
        <v>870</v>
      </c>
      <c r="B28" s="794"/>
      <c r="C28" s="794"/>
      <c r="D28" s="794"/>
      <c r="E28" s="794"/>
      <c r="F28" s="794"/>
      <c r="G28" s="794"/>
      <c r="H28" s="389"/>
      <c r="I28" s="389"/>
    </row>
    <row r="29" spans="1:9" ht="45.95" customHeight="1">
      <c r="A29" s="794" t="s">
        <v>871</v>
      </c>
      <c r="B29" s="794"/>
      <c r="C29" s="794"/>
      <c r="D29" s="794"/>
      <c r="E29" s="794"/>
      <c r="F29" s="794"/>
      <c r="G29" s="794"/>
    </row>
    <row r="30" spans="1:9" ht="14.25"/>
    <row r="31" spans="1:9" ht="14.25"/>
  </sheetData>
  <mergeCells count="10">
    <mergeCell ref="A29:G29"/>
    <mergeCell ref="A28:G28"/>
    <mergeCell ref="A2:E2"/>
    <mergeCell ref="A13:E13"/>
    <mergeCell ref="A24:B24"/>
    <mergeCell ref="C23:D23"/>
    <mergeCell ref="A22:D22"/>
    <mergeCell ref="C24:D24"/>
    <mergeCell ref="A4:E4"/>
    <mergeCell ref="A27:I27"/>
  </mergeCells>
  <phoneticPr fontId="23" type="noConversion"/>
  <pageMargins left="0.7" right="0.7" top="0.75" bottom="0.75" header="0.3" footer="0.3"/>
  <pageSetup paperSize="9" orientation="portrait" horizontalDpi="4294967292" verticalDpi="4294967292"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E802A509B08FA42993E1969A5BC9928" ma:contentTypeVersion="6" ma:contentTypeDescription="Create a new document." ma:contentTypeScope="" ma:versionID="6d5da71803b15a52f449acba1d268e12">
  <xsd:schema xmlns:xsd="http://www.w3.org/2001/XMLSchema" xmlns:xs="http://www.w3.org/2001/XMLSchema" xmlns:p="http://schemas.microsoft.com/office/2006/metadata/properties" xmlns:ns3="6c894683-651e-4dad-8fc0-2dd55ff1b3cb" targetNamespace="http://schemas.microsoft.com/office/2006/metadata/properties" ma:root="true" ma:fieldsID="5933ce7e55b99a8417b7ef8f523fb0a1" ns3:_="">
    <xsd:import namespace="6c894683-651e-4dad-8fc0-2dd55ff1b3c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894683-651e-4dad-8fc0-2dd55ff1b3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F928945-F0A6-4493-996F-F22349EDD69C}"/>
</file>

<file path=customXml/itemProps2.xml><?xml version="1.0" encoding="utf-8"?>
<ds:datastoreItem xmlns:ds="http://schemas.openxmlformats.org/officeDocument/2006/customXml" ds:itemID="{379974A0-AEF6-41C9-B2DE-3D64C6E263ED}"/>
</file>

<file path=customXml/itemProps3.xml><?xml version="1.0" encoding="utf-8"?>
<ds:datastoreItem xmlns:ds="http://schemas.openxmlformats.org/officeDocument/2006/customXml" ds:itemID="{C632167E-CD41-41B7-A7FA-11A58F4B83B0}"/>
</file>

<file path=docMetadata/LabelInfo.xml><?xml version="1.0" encoding="utf-8"?>
<clbl:labelList xmlns:clbl="http://schemas.microsoft.com/office/2020/mipLabelMetadata">
  <clbl:label id="{e299a644-a20f-492e-8471-57a29cac90c5}" enabled="0" method="" siteId="{e299a644-a20f-492e-8471-57a29cac90c5}"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Mizuki Yamamoto;Robin Newgent;Robin Newgent {Main}</dc:creator>
  <cp:keywords/>
  <dc:description/>
  <cp:lastModifiedBy>Sean Bonawitz</cp:lastModifiedBy>
  <cp:revision/>
  <dcterms:created xsi:type="dcterms:W3CDTF">2020-02-19T09:50:36Z</dcterms:created>
  <dcterms:modified xsi:type="dcterms:W3CDTF">2024-05-24T18:35:52Z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0x0101001E802A509B08FA42993E1969A5BC9928</vt:lpwstr>
  </property>
  <property fmtid="{D5CDD505-2E9C-101B-9397-08002B2CF9AE}" pid="3" name="MSIP_Label_7223dd36-5f5a-4043-89f3-26a021d4be1e_Enabled">
    <vt:lpwstr>true</vt:lpwstr>
  </property>
  <property fmtid="{D5CDD505-2E9C-101B-9397-08002B2CF9AE}" pid="4" name="MSIP_Label_7223dd36-5f5a-4043-89f3-26a021d4be1e_SetDate">
    <vt:lpwstr>2021-03-25T11:32:21Z</vt:lpwstr>
  </property>
  <property fmtid="{D5CDD505-2E9C-101B-9397-08002B2CF9AE}" pid="5" name="MSIP_Label_7223dd36-5f5a-4043-89f3-26a021d4be1e_Method">
    <vt:lpwstr>Privileged</vt:lpwstr>
  </property>
  <property fmtid="{D5CDD505-2E9C-101B-9397-08002B2CF9AE}" pid="6" name="MSIP_Label_7223dd36-5f5a-4043-89f3-26a021d4be1e_Name">
    <vt:lpwstr>General</vt:lpwstr>
  </property>
  <property fmtid="{D5CDD505-2E9C-101B-9397-08002B2CF9AE}" pid="7" name="MSIP_Label_7223dd36-5f5a-4043-89f3-26a021d4be1e_SiteId">
    <vt:lpwstr>1ba31ec1-cf15-460f-82db-61cb106a59af</vt:lpwstr>
  </property>
  <property fmtid="{D5CDD505-2E9C-101B-9397-08002B2CF9AE}" pid="8" name="MSIP_Label_7223dd36-5f5a-4043-89f3-26a021d4be1e_ActionId">
    <vt:lpwstr>a2abdc67-d046-4942-9838-b581145af815</vt:lpwstr>
  </property>
  <property fmtid="{D5CDD505-2E9C-101B-9397-08002B2CF9AE}" pid="9" name="MSIP_Label_7223dd36-5f5a-4043-89f3-26a021d4be1e_ContentBits">
    <vt:lpwstr>0</vt:lpwstr>
  </property>
</Properties>
</file>