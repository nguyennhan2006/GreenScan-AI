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fileSharing readOnlyRecommended="1"/>
  <workbookPr filterPrivacy="1" defaultThemeVersion="166925"/>
  <xr:revisionPtr revIDLastSave="0" documentId="13_ncr:1_{2EC4D3F7-51FB-4C32-897E-A5C40B7D1F2A}" xr6:coauthVersionLast="47" xr6:coauthVersionMax="47" xr10:uidLastSave="{00000000-0000-0000-0000-000000000000}"/>
  <bookViews>
    <workbookView xWindow="28680" yWindow="-120" windowWidth="29040" windowHeight="15720" xr2:uid="{65752C61-0FAB-4667-ABFC-4D13B30A49C8}"/>
  </bookViews>
  <sheets>
    <sheet name="社会_Social" sheetId="26" r:id="rId1"/>
  </sheets>
  <definedNames>
    <definedName name="__ENE21">#REF!</definedName>
    <definedName name="_34三次">#REF!</definedName>
    <definedName name="_34防府">#REF!</definedName>
    <definedName name="_34本社">#REF!</definedName>
    <definedName name="_35test">#REF!</definedName>
    <definedName name="_Fill" hidden="1">#REF!</definedName>
    <definedName name="_Key1" hidden="1">#REF!</definedName>
    <definedName name="_Order1" hidden="1">255</definedName>
    <definedName name="_PPRA61.O132_">#REF!</definedName>
    <definedName name="\a">#REF!</definedName>
    <definedName name="\b">#REF!</definedName>
    <definedName name="\c">#REF!</definedName>
    <definedName name="\d">#REF!</definedName>
    <definedName name="\e">#REF!</definedName>
    <definedName name="\m">#REF!</definedName>
    <definedName name="\q">#REF!</definedName>
    <definedName name="\s">#REF!</definedName>
    <definedName name="\w">#REF!</definedName>
    <definedName name="\z">#REF!</definedName>
    <definedName name="AG">#REF!</definedName>
    <definedName name="AGP">#REF!</definedName>
    <definedName name="A重油cal">#REF!</definedName>
    <definedName name="B重油cal">#REF!</definedName>
    <definedName name="CO2排出係数">#REF!</definedName>
    <definedName name="code1">#REF!</definedName>
    <definedName name="ColumnTitle1">#REF!</definedName>
    <definedName name="ColumnTitle2">#REF!</definedName>
    <definedName name="ColumnTitle3">#REF!</definedName>
    <definedName name="C重油cal">#REF!</definedName>
    <definedName name="FY">#REF!</definedName>
    <definedName name="ＬＰＧcal">#REF!</definedName>
    <definedName name="PQ">#REF!</definedName>
    <definedName name="RAP61.CJ132_">#REF!</definedName>
    <definedName name="RCK61.EE132_">#REF!</definedName>
    <definedName name="REF61.FZ132_">#REF!</definedName>
    <definedName name="RowTitleRegion1..D4">#REF!</definedName>
    <definedName name="Unit">#REF!</definedName>
    <definedName name="Unit2">#REF!</definedName>
    <definedName name="ｴｱcal">#REF!</definedName>
    <definedName name="ｶﾞｽ13Acal">#REF!</definedName>
    <definedName name="ｶﾞｽ6Ccal">#REF!</definedName>
    <definedName name="ｶﾞｿﾘﾝcal">#REF!</definedName>
    <definedName name="ｺｰｸｽcal">#REF!</definedName>
    <definedName name="タイトル">#REF!</definedName>
    <definedName name="ﾌﾞﾀﾝｴｱcal">#REF!</definedName>
    <definedName name="印刷1">#REF!</definedName>
    <definedName name="印刷2">#REF!</definedName>
    <definedName name="印刷3">#REF!</definedName>
    <definedName name="印刷4">#REF!</definedName>
    <definedName name="汚泥の含水率">#REF!</definedName>
    <definedName name="汚泥中の灰分">#REF!</definedName>
    <definedName name="軽油cal">#REF!</definedName>
    <definedName name="高温水cal">#REF!</definedName>
    <definedName name="作成日">#REF!</definedName>
    <definedName name="雑芥中の灰分">#REF!</definedName>
    <definedName name="自社処理廃プラ中の灰分">#REF!</definedName>
    <definedName name="社外処理廃プラ中の灰分">#REF!</definedName>
    <definedName name="焼却灰の含水率">#REF!</definedName>
    <definedName name="焼却灰中の灰分">#REF!</definedName>
    <definedName name="蒸気cal">#REF!</definedName>
    <definedName name="石炭cal">#REF!</definedName>
    <definedName name="単位発熱量">#REF!</definedName>
    <definedName name="電力cal">#REF!</definedName>
    <definedName name="塗料かすの含水率">#REF!</definedName>
    <definedName name="塗料かす中の灰分">#REF!</definedName>
    <definedName name="都市ｶﾞｽ13Acal">#REF!</definedName>
    <definedName name="灯油cal">#REF!</definedName>
    <definedName name="熱量を原油に換算">#REF!</definedName>
    <definedName name="木くず中の灰分">#REF!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0" i="26" l="1"/>
  <c r="H163" i="26" l="1"/>
  <c r="H178" i="26" l="1"/>
  <c r="E132" i="26"/>
  <c r="F132" i="26"/>
  <c r="G132" i="26"/>
  <c r="H132" i="26"/>
  <c r="D132" i="26"/>
  <c r="G24" i="26" l="1"/>
  <c r="F24" i="26"/>
</calcChain>
</file>

<file path=xl/sharedStrings.xml><?xml version="1.0" encoding="utf-8"?>
<sst xmlns="http://schemas.openxmlformats.org/spreadsheetml/2006/main" count="413" uniqueCount="299">
  <si>
    <t>-</t>
  </si>
  <si>
    <t>28(555)</t>
    <phoneticPr fontId="6"/>
  </si>
  <si>
    <t>28(427)</t>
    <phoneticPr fontId="6"/>
  </si>
  <si>
    <t>483(2,239)</t>
    <phoneticPr fontId="6"/>
  </si>
  <si>
    <t>93(452)</t>
    <phoneticPr fontId="6"/>
  </si>
  <si>
    <t>99(493)</t>
    <phoneticPr fontId="6"/>
  </si>
  <si>
    <t>576(2,691)</t>
    <phoneticPr fontId="6"/>
  </si>
  <si>
    <t>637(3,054)</t>
    <phoneticPr fontId="6"/>
  </si>
  <si>
    <t>4(12)</t>
    <phoneticPr fontId="6"/>
  </si>
  <si>
    <t>9(54)</t>
    <phoneticPr fontId="6"/>
  </si>
  <si>
    <t>11(39)</t>
    <phoneticPr fontId="6"/>
  </si>
  <si>
    <t>18(72)</t>
    <phoneticPr fontId="6"/>
  </si>
  <si>
    <t>15(51)</t>
    <phoneticPr fontId="6"/>
  </si>
  <si>
    <t>27(126)</t>
    <phoneticPr fontId="6"/>
  </si>
  <si>
    <t>5(20)</t>
    <phoneticPr fontId="6"/>
  </si>
  <si>
    <t>4(17)</t>
    <phoneticPr fontId="6"/>
  </si>
  <si>
    <t>2(6)</t>
    <phoneticPr fontId="6"/>
  </si>
  <si>
    <t>7(34)</t>
    <phoneticPr fontId="6"/>
  </si>
  <si>
    <t>6(23)</t>
    <phoneticPr fontId="6"/>
  </si>
  <si>
    <t>%</t>
    <phoneticPr fontId="1"/>
  </si>
  <si>
    <t>2(14)</t>
    <phoneticPr fontId="6"/>
  </si>
  <si>
    <t>-</t>
    <phoneticPr fontId="1"/>
  </si>
  <si>
    <t>790(3,503)</t>
    <phoneticPr fontId="6"/>
  </si>
  <si>
    <t>1,008(4,775)</t>
    <phoneticPr fontId="6"/>
  </si>
  <si>
    <t>387(1,697)</t>
    <phoneticPr fontId="6"/>
  </si>
  <si>
    <t>434(1,804)</t>
    <phoneticPr fontId="6"/>
  </si>
  <si>
    <t>633(2,787)</t>
    <phoneticPr fontId="6"/>
  </si>
  <si>
    <t>309(1,322)</t>
    <phoneticPr fontId="6"/>
  </si>
  <si>
    <t>356(1,699)</t>
    <phoneticPr fontId="6"/>
  </si>
  <si>
    <t>375(1,988)</t>
    <phoneticPr fontId="6"/>
  </si>
  <si>
    <t>603(2,252)</t>
    <phoneticPr fontId="6"/>
  </si>
  <si>
    <t>777(3,123)</t>
    <phoneticPr fontId="6"/>
  </si>
  <si>
    <t>331(1,258)</t>
    <phoneticPr fontId="6"/>
  </si>
  <si>
    <t>490(1,935)</t>
    <phoneticPr fontId="6"/>
  </si>
  <si>
    <t>260(994)</t>
    <phoneticPr fontId="6"/>
  </si>
  <si>
    <t>287(1,188)</t>
    <phoneticPr fontId="6"/>
  </si>
  <si>
    <t>37(854)</t>
    <phoneticPr fontId="6"/>
  </si>
  <si>
    <t>444(2144)</t>
    <phoneticPr fontId="6"/>
  </si>
  <si>
    <t>102(497)</t>
    <phoneticPr fontId="6"/>
  </si>
  <si>
    <t>546(2641)</t>
    <phoneticPr fontId="6"/>
  </si>
  <si>
    <t>9(35)</t>
    <phoneticPr fontId="6"/>
  </si>
  <si>
    <t>43(180)</t>
    <phoneticPr fontId="6"/>
  </si>
  <si>
    <t>52(215)</t>
    <phoneticPr fontId="6"/>
  </si>
  <si>
    <t>7(32)</t>
    <phoneticPr fontId="6"/>
  </si>
  <si>
    <t>5(16)</t>
    <phoneticPr fontId="6"/>
  </si>
  <si>
    <t>12(48)</t>
    <phoneticPr fontId="6"/>
  </si>
  <si>
    <t>-</t>
    <phoneticPr fontId="14"/>
  </si>
  <si>
    <t>538(2,561)</t>
    <phoneticPr fontId="6"/>
  </si>
  <si>
    <t>Updated October 31,2024</t>
    <phoneticPr fontId="1"/>
  </si>
  <si>
    <t>マツダ（株）Mazda Motor Corporation</t>
    <rPh sb="4" eb="5">
      <t>カブ</t>
    </rPh>
    <phoneticPr fontId="1"/>
  </si>
  <si>
    <t>グループ会社、サプライヤー Group companies, Suppliers</t>
    <rPh sb="4" eb="6">
      <t>カイシャ</t>
    </rPh>
    <phoneticPr fontId="1"/>
  </si>
  <si>
    <r>
      <t xml:space="preserve">*2 </t>
    </r>
    <r>
      <rPr>
        <sz val="10"/>
        <color theme="1"/>
        <rFont val="源真ゴシックP Normal"/>
        <family val="3"/>
        <charset val="128"/>
      </rPr>
      <t>マツダ（株）の延べ</t>
    </r>
    <r>
      <rPr>
        <sz val="10"/>
        <color theme="1"/>
        <rFont val="Mazda Type"/>
      </rPr>
      <t>100</t>
    </r>
    <r>
      <rPr>
        <sz val="10"/>
        <color theme="1"/>
        <rFont val="源真ゴシックP Normal"/>
        <family val="3"/>
        <charset val="128"/>
      </rPr>
      <t xml:space="preserve">万労働時間当たりの労働災害による死傷者数（不休業災害を含む）
</t>
    </r>
    <r>
      <rPr>
        <sz val="10"/>
        <color theme="1"/>
        <rFont val="Mazda Type"/>
      </rPr>
      <t>*2 The number of deaths and injuries in Mazda Motor Corporation per million person-hours worked (Includes non-lost time injuries).</t>
    </r>
    <rPh sb="24" eb="26">
      <t>ロウドウ</t>
    </rPh>
    <rPh sb="26" eb="28">
      <t>サイガイ</t>
    </rPh>
    <rPh sb="31" eb="35">
      <t>シショウシャスウ</t>
    </rPh>
    <rPh sb="38" eb="39">
      <t>ギョウ</t>
    </rPh>
    <rPh sb="39" eb="41">
      <t>サイガイ</t>
    </rPh>
    <rPh sb="42" eb="43">
      <t>フク</t>
    </rPh>
    <phoneticPr fontId="1"/>
  </si>
  <si>
    <r>
      <t xml:space="preserve">*3 </t>
    </r>
    <r>
      <rPr>
        <sz val="10"/>
        <color theme="1"/>
        <rFont val="源真ゴシックP Normal"/>
        <family val="3"/>
        <charset val="128"/>
      </rPr>
      <t>マツダ（株）の延べ</t>
    </r>
    <r>
      <rPr>
        <sz val="10"/>
        <color theme="1"/>
        <rFont val="Mazda Type"/>
      </rPr>
      <t>100</t>
    </r>
    <r>
      <rPr>
        <sz val="10"/>
        <color theme="1"/>
        <rFont val="源真ゴシックP Normal"/>
        <family val="3"/>
        <charset val="128"/>
      </rPr>
      <t xml:space="preserve">万労働時間当たりの労働災害による死傷者数
</t>
    </r>
    <r>
      <rPr>
        <sz val="10"/>
        <color theme="1"/>
        <rFont val="Mazda Type"/>
      </rPr>
      <t>*3 The number of deaths and injuries in Mazda Motor Corporation per million person-hours worked.</t>
    </r>
    <phoneticPr fontId="6"/>
  </si>
  <si>
    <r>
      <t xml:space="preserve">*1 </t>
    </r>
    <r>
      <rPr>
        <sz val="10"/>
        <color theme="1"/>
        <rFont val="源真ゴシックP Normal"/>
        <family val="3"/>
        <charset val="128"/>
      </rPr>
      <t>延べ</t>
    </r>
    <r>
      <rPr>
        <sz val="10"/>
        <color theme="1"/>
        <rFont val="Mazda Type"/>
      </rPr>
      <t>100</t>
    </r>
    <r>
      <rPr>
        <sz val="10"/>
        <color theme="1"/>
        <rFont val="源真ゴシックP Normal"/>
        <family val="3"/>
        <charset val="128"/>
      </rPr>
      <t>万労働時間当たりの労働災害による死傷者数
　【対象範囲】
　2019～2022年度：マツダ（株）、国内関係会社8社、海外生産拠点5社   （安全衛生の取り組みを連携して進めている子会社・持分法適用会社を集計範囲とする）
　2023年度：マツダ（株）、国内関係会社8社、海外生産拠点6社   （安全衛生の取り組みを連携して進めている子会社・持分法適用会社を集計範囲とする）</t>
    </r>
    <rPh sb="31" eb="33">
      <t>タイショウ</t>
    </rPh>
    <phoneticPr fontId="1"/>
  </si>
  <si>
    <r>
      <t xml:space="preserve">*1 The number of </t>
    </r>
    <r>
      <rPr>
        <sz val="10"/>
        <color theme="1"/>
        <rFont val="Mazda Type"/>
      </rPr>
      <t>deaths and injuries</t>
    </r>
    <r>
      <rPr>
        <sz val="10"/>
        <color theme="1"/>
        <rFont val="Mazda Type"/>
        <family val="3"/>
        <charset val="128"/>
      </rPr>
      <t xml:space="preserve"> per million person-hours worked.
</t>
    </r>
    <r>
      <rPr>
        <sz val="10"/>
        <color theme="1"/>
        <rFont val="源真ゴシックP Normal"/>
        <family val="3"/>
        <charset val="128"/>
      </rPr>
      <t>　【Scope of coverage】</t>
    </r>
    <r>
      <rPr>
        <sz val="10"/>
        <color theme="1"/>
        <rFont val="Mazda Type"/>
        <family val="3"/>
        <charset val="128"/>
      </rPr>
      <t xml:space="preserve">
</t>
    </r>
    <r>
      <rPr>
        <sz val="10"/>
        <color theme="1"/>
        <rFont val="ＭＳ Ｐゴシック"/>
        <family val="3"/>
        <charset val="128"/>
      </rPr>
      <t>　</t>
    </r>
    <r>
      <rPr>
        <sz val="10"/>
        <color theme="1"/>
        <rFont val="Mazda Type"/>
        <family val="3"/>
        <charset val="128"/>
      </rPr>
      <t xml:space="preserve">FY March 2020-2023:Mazda Motor Corporation, eight Group companies in Japan, and five overseas production sites
</t>
    </r>
    <r>
      <rPr>
        <sz val="10"/>
        <color theme="1"/>
        <rFont val="ＭＳ Ｐゴシック"/>
        <family val="3"/>
        <charset val="128"/>
      </rPr>
      <t>　</t>
    </r>
    <r>
      <rPr>
        <sz val="10"/>
        <color theme="1"/>
        <rFont val="Mazda Type"/>
        <family val="3"/>
        <charset val="128"/>
      </rPr>
      <t xml:space="preserve"> (Subsidiaries and equity-method Group companies that promote safety and health initiatives are included in the scope of data collection.)
</t>
    </r>
    <r>
      <rPr>
        <sz val="10"/>
        <color theme="1"/>
        <rFont val="ＭＳ Ｐゴシック"/>
        <family val="3"/>
        <charset val="128"/>
      </rPr>
      <t>　</t>
    </r>
    <r>
      <rPr>
        <sz val="10"/>
        <color theme="1"/>
        <rFont val="Mazda Type"/>
        <family val="3"/>
        <charset val="128"/>
      </rPr>
      <t>FY March 2024:Mazda Motor Corporation, eight Group companies in Japan, and six overseas production sites 
   (Subsidiaries and equity-method Group companies that promote safety and health initiatives are included in the scope of data collection.)</t>
    </r>
    <phoneticPr fontId="1"/>
  </si>
  <si>
    <r>
      <rPr>
        <b/>
        <sz val="16"/>
        <color theme="1"/>
        <rFont val="源真ゴシックP Normal"/>
        <family val="3"/>
        <charset val="128"/>
      </rPr>
      <t>社会データ</t>
    </r>
    <r>
      <rPr>
        <b/>
        <sz val="16"/>
        <color theme="1"/>
        <rFont val="Mazda Type"/>
      </rPr>
      <t xml:space="preserve"> Social Data</t>
    </r>
    <rPh sb="0" eb="2">
      <t>シャカイ</t>
    </rPh>
    <phoneticPr fontId="1"/>
  </si>
  <si>
    <r>
      <rPr>
        <sz val="10"/>
        <color theme="1"/>
        <rFont val="源真ゴシックP Normal"/>
        <family val="3"/>
        <charset val="128"/>
      </rPr>
      <t xml:space="preserve">•  </t>
    </r>
    <r>
      <rPr>
        <sz val="10"/>
        <color theme="1"/>
        <rFont val="Segoe UI Symbol"/>
        <family val="3"/>
      </rPr>
      <t>✔</t>
    </r>
    <r>
      <rPr>
        <sz val="10"/>
        <color theme="1"/>
        <rFont val="源真ゴシックP Normal"/>
        <family val="3"/>
        <charset val="128"/>
      </rPr>
      <t xml:space="preserve"> は第三者検証対象項目</t>
    </r>
    <r>
      <rPr>
        <sz val="10"/>
        <color theme="1"/>
        <rFont val="Mazda Type"/>
      </rPr>
      <t xml:space="preserve">  </t>
    </r>
    <r>
      <rPr>
        <sz val="10"/>
        <color theme="1"/>
        <rFont val="Segoe UI Symbol"/>
        <family val="3"/>
      </rPr>
      <t>✔</t>
    </r>
    <r>
      <rPr>
        <sz val="10"/>
        <color theme="1"/>
        <rFont val="Mazda Type"/>
      </rPr>
      <t xml:space="preserve"> The figure of each item verified by a third party </t>
    </r>
    <phoneticPr fontId="1"/>
  </si>
  <si>
    <r>
      <rPr>
        <sz val="10"/>
        <color theme="1"/>
        <rFont val="源真ゴシックP Normal"/>
        <family val="3"/>
        <charset val="128"/>
      </rPr>
      <t>•  過去の対象範囲の詳細は、各年度のサステナビリティレポートをご参照ください。</t>
    </r>
    <r>
      <rPr>
        <sz val="10"/>
        <color theme="1"/>
        <rFont val="Mazda Type"/>
        <family val="3"/>
        <charset val="128"/>
      </rPr>
      <t xml:space="preserve"> </t>
    </r>
    <r>
      <rPr>
        <sz val="10"/>
        <color theme="1"/>
        <rFont val="源真ゴシックP Normal"/>
        <family val="3"/>
        <charset val="128"/>
      </rPr>
      <t xml:space="preserve"> Please refer to the Sustainability Report for each fiscal year for details on the scope of coverage in the past.</t>
    </r>
    <rPh sb="3" eb="5">
      <t>カコ</t>
    </rPh>
    <rPh sb="15" eb="18">
      <t>カクネンド</t>
    </rPh>
    <rPh sb="33" eb="35">
      <t>サンショウ</t>
    </rPh>
    <phoneticPr fontId="1"/>
  </si>
  <si>
    <r>
      <rPr>
        <b/>
        <sz val="12"/>
        <color theme="1"/>
        <rFont val="源真ゴシックP Normal"/>
        <family val="3"/>
        <charset val="128"/>
      </rPr>
      <t xml:space="preserve">従業員：単体  </t>
    </r>
    <r>
      <rPr>
        <b/>
        <sz val="12"/>
        <color theme="1"/>
        <rFont val="Mazda Type"/>
      </rPr>
      <t>Employee: Non-consolidated</t>
    </r>
    <rPh sb="0" eb="3">
      <t>ジュウギョウイン</t>
    </rPh>
    <rPh sb="4" eb="6">
      <t>タンタイ</t>
    </rPh>
    <phoneticPr fontId="1"/>
  </si>
  <si>
    <r>
      <rPr>
        <sz val="10"/>
        <color theme="1"/>
        <rFont val="源真ゴシックP Normal"/>
        <family val="3"/>
        <charset val="128"/>
      </rPr>
      <t xml:space="preserve">単位 </t>
    </r>
    <r>
      <rPr>
        <sz val="10"/>
        <color theme="1"/>
        <rFont val="Mazda Type"/>
      </rPr>
      <t>Unit</t>
    </r>
    <rPh sb="0" eb="2">
      <t>タンイ</t>
    </rPh>
    <phoneticPr fontId="6"/>
  </si>
  <si>
    <r>
      <t>2021</t>
    </r>
    <r>
      <rPr>
        <sz val="10"/>
        <color theme="1"/>
        <rFont val="源真ゴシックP Normal"/>
        <family val="3"/>
        <charset val="128"/>
      </rPr>
      <t xml:space="preserve">年度
</t>
    </r>
    <r>
      <rPr>
        <sz val="10"/>
        <color theme="1"/>
        <rFont val="Mazda Type"/>
      </rPr>
      <t>FY March 2022</t>
    </r>
    <phoneticPr fontId="1"/>
  </si>
  <si>
    <r>
      <t>2022</t>
    </r>
    <r>
      <rPr>
        <sz val="10"/>
        <color theme="1"/>
        <rFont val="源真ゴシックP Normal"/>
        <family val="3"/>
        <charset val="128"/>
      </rPr>
      <t xml:space="preserve">年度
</t>
    </r>
    <r>
      <rPr>
        <sz val="10"/>
        <color theme="1"/>
        <rFont val="Mazda Type"/>
      </rPr>
      <t>FY March 2023</t>
    </r>
    <rPh sb="4" eb="6">
      <t>ネンド</t>
    </rPh>
    <phoneticPr fontId="1"/>
  </si>
  <si>
    <r>
      <t>2023</t>
    </r>
    <r>
      <rPr>
        <sz val="10"/>
        <color theme="1"/>
        <rFont val="源真ゴシックP Normal"/>
        <family val="3"/>
        <charset val="128"/>
      </rPr>
      <t xml:space="preserve">年度
</t>
    </r>
    <r>
      <rPr>
        <sz val="10"/>
        <color theme="1"/>
        <rFont val="Mazda Type"/>
      </rPr>
      <t>FY March 2024</t>
    </r>
    <rPh sb="4" eb="6">
      <t>ネンド</t>
    </rPh>
    <phoneticPr fontId="1"/>
  </si>
  <si>
    <r>
      <rPr>
        <sz val="10"/>
        <color theme="1"/>
        <rFont val="源真ゴシックP Normal"/>
        <family val="3"/>
        <charset val="128"/>
      </rPr>
      <t>従業員数</t>
    </r>
    <r>
      <rPr>
        <vertAlign val="superscript"/>
        <sz val="10"/>
        <color theme="1"/>
        <rFont val="Mazda Type"/>
      </rPr>
      <t xml:space="preserve">*1,5  </t>
    </r>
    <r>
      <rPr>
        <sz val="10"/>
        <color theme="1"/>
        <rFont val="Mazda Type"/>
      </rPr>
      <t>Number of employees</t>
    </r>
    <r>
      <rPr>
        <vertAlign val="superscript"/>
        <sz val="10"/>
        <color theme="1"/>
        <rFont val="Mazda Type"/>
      </rPr>
      <t>*1,5</t>
    </r>
    <rPh sb="0" eb="3">
      <t>ジュウギョウイン</t>
    </rPh>
    <rPh sb="3" eb="4">
      <t>スウ</t>
    </rPh>
    <phoneticPr fontId="1"/>
  </si>
  <si>
    <r>
      <rPr>
        <sz val="10"/>
        <color theme="1"/>
        <rFont val="源真ゴシックP Normal"/>
        <family val="3"/>
        <charset val="128"/>
      </rPr>
      <t xml:space="preserve">男性 </t>
    </r>
    <r>
      <rPr>
        <sz val="10"/>
        <color theme="1"/>
        <rFont val="Mazda Type"/>
      </rPr>
      <t>Male</t>
    </r>
    <rPh sb="0" eb="2">
      <t>ダンセイ</t>
    </rPh>
    <phoneticPr fontId="1"/>
  </si>
  <si>
    <r>
      <rPr>
        <sz val="10"/>
        <color theme="1"/>
        <rFont val="源真ゴシックP Normal"/>
        <family val="3"/>
        <charset val="128"/>
      </rPr>
      <t xml:space="preserve">人 </t>
    </r>
    <r>
      <rPr>
        <sz val="10"/>
        <color theme="1"/>
        <rFont val="Mazda Type"/>
      </rPr>
      <t>persons</t>
    </r>
    <rPh sb="0" eb="1">
      <t>ヒト</t>
    </rPh>
    <phoneticPr fontId="6"/>
  </si>
  <si>
    <r>
      <t>21,015</t>
    </r>
    <r>
      <rPr>
        <sz val="10"/>
        <color theme="1"/>
        <rFont val="Segoe UI Symbol"/>
        <family val="2"/>
      </rPr>
      <t>✔</t>
    </r>
    <phoneticPr fontId="1"/>
  </si>
  <si>
    <r>
      <rPr>
        <sz val="10"/>
        <color theme="1"/>
        <rFont val="源真ゴシックP Normal"/>
        <family val="3"/>
        <charset val="128"/>
      </rPr>
      <t xml:space="preserve">女性 </t>
    </r>
    <r>
      <rPr>
        <sz val="10"/>
        <color theme="1"/>
        <rFont val="Mazda Type"/>
      </rPr>
      <t>Female</t>
    </r>
    <rPh sb="0" eb="2">
      <t>ジョセイ</t>
    </rPh>
    <phoneticPr fontId="1"/>
  </si>
  <si>
    <r>
      <t>2,418</t>
    </r>
    <r>
      <rPr>
        <sz val="10"/>
        <color theme="1"/>
        <rFont val="Segoe UI Symbol"/>
        <family val="2"/>
      </rPr>
      <t>✔</t>
    </r>
    <phoneticPr fontId="1"/>
  </si>
  <si>
    <r>
      <rPr>
        <sz val="10"/>
        <color theme="1"/>
        <rFont val="源真ゴシックP Normal"/>
        <family val="3"/>
        <charset val="128"/>
      </rPr>
      <t xml:space="preserve">合計 </t>
    </r>
    <r>
      <rPr>
        <sz val="10"/>
        <color theme="1"/>
        <rFont val="Mazda Type"/>
      </rPr>
      <t>Total</t>
    </r>
    <rPh sb="0" eb="2">
      <t>ゴウケイ</t>
    </rPh>
    <phoneticPr fontId="1"/>
  </si>
  <si>
    <r>
      <t>23,433</t>
    </r>
    <r>
      <rPr>
        <sz val="10"/>
        <color theme="1"/>
        <rFont val="Segoe UI Symbol"/>
        <family val="2"/>
      </rPr>
      <t>✔</t>
    </r>
    <phoneticPr fontId="1"/>
  </si>
  <si>
    <r>
      <rPr>
        <sz val="10"/>
        <color theme="1"/>
        <rFont val="源真ゴシックP Normal"/>
        <family val="3"/>
        <charset val="128"/>
      </rPr>
      <t>平均年齢</t>
    </r>
    <r>
      <rPr>
        <vertAlign val="superscript"/>
        <sz val="10"/>
        <color theme="1"/>
        <rFont val="Mazda Type"/>
      </rPr>
      <t xml:space="preserve">*2*5  </t>
    </r>
    <r>
      <rPr>
        <sz val="10"/>
        <color theme="1"/>
        <rFont val="Mazda Type"/>
      </rPr>
      <t>Average age</t>
    </r>
    <r>
      <rPr>
        <vertAlign val="superscript"/>
        <sz val="10"/>
        <color theme="1"/>
        <rFont val="Mazda Type"/>
      </rPr>
      <t>*2,5</t>
    </r>
    <phoneticPr fontId="1"/>
  </si>
  <si>
    <r>
      <rPr>
        <sz val="10"/>
        <color theme="1"/>
        <rFont val="源真ゴシックP Normal"/>
        <family val="3"/>
        <charset val="128"/>
      </rPr>
      <t xml:space="preserve">歳 </t>
    </r>
    <r>
      <rPr>
        <sz val="10"/>
        <color theme="1"/>
        <rFont val="Mazda Type"/>
      </rPr>
      <t>Age</t>
    </r>
    <rPh sb="0" eb="1">
      <t>サイ</t>
    </rPh>
    <phoneticPr fontId="6"/>
  </si>
  <si>
    <r>
      <t>41.2</t>
    </r>
    <r>
      <rPr>
        <sz val="10"/>
        <color theme="1"/>
        <rFont val="Segoe UI Symbol"/>
        <family val="2"/>
      </rPr>
      <t>✔</t>
    </r>
    <phoneticPr fontId="1"/>
  </si>
  <si>
    <r>
      <t>39.1</t>
    </r>
    <r>
      <rPr>
        <sz val="10"/>
        <color theme="1"/>
        <rFont val="Segoe UI Symbol"/>
        <family val="2"/>
      </rPr>
      <t>✔</t>
    </r>
    <phoneticPr fontId="1"/>
  </si>
  <si>
    <r>
      <t>41.0</t>
    </r>
    <r>
      <rPr>
        <sz val="10"/>
        <color theme="1"/>
        <rFont val="Segoe UI Symbol"/>
        <family val="2"/>
      </rPr>
      <t>✔</t>
    </r>
    <phoneticPr fontId="1"/>
  </si>
  <si>
    <r>
      <rPr>
        <sz val="10"/>
        <color theme="1"/>
        <rFont val="源真ゴシックP Normal"/>
        <family val="3"/>
        <charset val="128"/>
      </rPr>
      <t>定年後再雇用者数</t>
    </r>
    <r>
      <rPr>
        <vertAlign val="superscript"/>
        <sz val="10"/>
        <color theme="1"/>
        <rFont val="Mazda Type"/>
      </rPr>
      <t xml:space="preserve">*5  </t>
    </r>
    <r>
      <rPr>
        <sz val="10"/>
        <color theme="1"/>
        <rFont val="Mazda Type"/>
      </rPr>
      <t>Number of workers re-employed after reaching retirement age</t>
    </r>
    <r>
      <rPr>
        <vertAlign val="superscript"/>
        <sz val="10"/>
        <color theme="1"/>
        <rFont val="Mazda Type"/>
      </rPr>
      <t>*5</t>
    </r>
    <phoneticPr fontId="1"/>
  </si>
  <si>
    <r>
      <rPr>
        <sz val="10"/>
        <color theme="1"/>
        <rFont val="源真ゴシックP Normal"/>
        <family val="3"/>
        <charset val="128"/>
      </rPr>
      <t xml:space="preserve">人 </t>
    </r>
    <r>
      <rPr>
        <sz val="10"/>
        <color theme="1"/>
        <rFont val="Mazda Type"/>
      </rPr>
      <t>persons</t>
    </r>
    <phoneticPr fontId="6"/>
  </si>
  <si>
    <r>
      <t>1,587</t>
    </r>
    <r>
      <rPr>
        <sz val="10"/>
        <color theme="1"/>
        <rFont val="Segoe UI Symbol"/>
        <family val="2"/>
      </rPr>
      <t>✔</t>
    </r>
    <phoneticPr fontId="1"/>
  </si>
  <si>
    <r>
      <rPr>
        <sz val="10"/>
        <color theme="1"/>
        <rFont val="源真ゴシックP Normal"/>
        <family val="3"/>
        <charset val="128"/>
      </rPr>
      <t>平均勤続年数</t>
    </r>
    <r>
      <rPr>
        <vertAlign val="superscript"/>
        <sz val="10"/>
        <color theme="1"/>
        <rFont val="Mazda Type"/>
      </rPr>
      <t xml:space="preserve">*2*5 </t>
    </r>
    <r>
      <rPr>
        <sz val="10"/>
        <color theme="1"/>
        <rFont val="Mazda Type"/>
      </rPr>
      <t>Average years of employment</t>
    </r>
    <r>
      <rPr>
        <vertAlign val="superscript"/>
        <sz val="10"/>
        <color theme="1"/>
        <rFont val="Mazda Type"/>
      </rPr>
      <t>*2,5</t>
    </r>
    <phoneticPr fontId="1"/>
  </si>
  <si>
    <r>
      <rPr>
        <sz val="10"/>
        <color theme="1"/>
        <rFont val="源真ゴシックP Normal"/>
        <family val="3"/>
        <charset val="128"/>
      </rPr>
      <t xml:space="preserve">年 </t>
    </r>
    <r>
      <rPr>
        <sz val="10"/>
        <color theme="1"/>
        <rFont val="Mazda Type"/>
      </rPr>
      <t>Years</t>
    </r>
    <rPh sb="0" eb="1">
      <t>ネン</t>
    </rPh>
    <phoneticPr fontId="6"/>
  </si>
  <si>
    <r>
      <t>18.0</t>
    </r>
    <r>
      <rPr>
        <sz val="10"/>
        <color theme="1"/>
        <rFont val="Segoe UI Symbol"/>
        <family val="2"/>
      </rPr>
      <t>✔</t>
    </r>
    <phoneticPr fontId="1"/>
  </si>
  <si>
    <r>
      <t>14.9</t>
    </r>
    <r>
      <rPr>
        <sz val="10"/>
        <color theme="1"/>
        <rFont val="Segoe UI Symbol"/>
        <family val="2"/>
      </rPr>
      <t>✔</t>
    </r>
    <phoneticPr fontId="1"/>
  </si>
  <si>
    <r>
      <t>17.7</t>
    </r>
    <r>
      <rPr>
        <sz val="10"/>
        <color theme="1"/>
        <rFont val="Segoe UI Symbol"/>
        <family val="2"/>
      </rPr>
      <t>✔</t>
    </r>
    <phoneticPr fontId="1"/>
  </si>
  <si>
    <r>
      <rPr>
        <sz val="10"/>
        <color theme="1"/>
        <rFont val="源真ゴシックP Normal"/>
        <family val="3"/>
        <charset val="128"/>
      </rPr>
      <t xml:space="preserve">女性採用人数 </t>
    </r>
    <r>
      <rPr>
        <sz val="10"/>
        <color theme="1"/>
        <rFont val="Mazda Type"/>
      </rPr>
      <t>Number of female employees hired</t>
    </r>
    <phoneticPr fontId="1"/>
  </si>
  <si>
    <r>
      <t>135</t>
    </r>
    <r>
      <rPr>
        <sz val="10"/>
        <color theme="1"/>
        <rFont val="Segoe UI Symbol"/>
        <family val="2"/>
      </rPr>
      <t>✔</t>
    </r>
    <phoneticPr fontId="1"/>
  </si>
  <si>
    <r>
      <rPr>
        <sz val="10"/>
        <color theme="1"/>
        <rFont val="源真ゴシックP Normal"/>
        <family val="3"/>
        <charset val="128"/>
      </rPr>
      <t xml:space="preserve">新卒採用に占める女性比率 </t>
    </r>
    <r>
      <rPr>
        <sz val="10"/>
        <color theme="1"/>
        <rFont val="Mazda Type"/>
      </rPr>
      <t>Percentage of female new graduates hired</t>
    </r>
    <rPh sb="2" eb="4">
      <t>サイヨウ</t>
    </rPh>
    <phoneticPr fontId="1"/>
  </si>
  <si>
    <r>
      <rPr>
        <sz val="10"/>
        <color theme="1"/>
        <rFont val="源真ゴシックP Normal"/>
        <family val="3"/>
        <charset val="128"/>
      </rPr>
      <t xml:space="preserve">事務系 </t>
    </r>
    <r>
      <rPr>
        <sz val="10"/>
        <color theme="1"/>
        <rFont val="Mazda Type"/>
      </rPr>
      <t>Administrative</t>
    </r>
    <phoneticPr fontId="1"/>
  </si>
  <si>
    <r>
      <rPr>
        <sz val="10"/>
        <color theme="1"/>
        <rFont val="源真ゴシックP Normal"/>
        <family val="3"/>
        <charset val="128"/>
      </rPr>
      <t>％</t>
    </r>
    <phoneticPr fontId="6"/>
  </si>
  <si>
    <r>
      <rPr>
        <sz val="10"/>
        <color theme="1"/>
        <rFont val="源真ゴシックP Normal"/>
        <family val="3"/>
        <charset val="128"/>
      </rPr>
      <t xml:space="preserve">技術系 </t>
    </r>
    <r>
      <rPr>
        <sz val="10"/>
        <color theme="1"/>
        <rFont val="Mazda Type"/>
      </rPr>
      <t>Engineering</t>
    </r>
    <phoneticPr fontId="1"/>
  </si>
  <si>
    <r>
      <rPr>
        <sz val="10"/>
        <color theme="1"/>
        <rFont val="源真ゴシックP Normal"/>
        <family val="3"/>
        <charset val="128"/>
      </rPr>
      <t xml:space="preserve">技能系 </t>
    </r>
    <r>
      <rPr>
        <sz val="10"/>
        <color theme="1"/>
        <rFont val="Mazda Type"/>
      </rPr>
      <t>Production</t>
    </r>
    <phoneticPr fontId="1"/>
  </si>
  <si>
    <r>
      <rPr>
        <sz val="10"/>
        <color theme="1"/>
        <rFont val="源真ゴシックP Normal"/>
        <family val="3"/>
        <charset val="128"/>
      </rPr>
      <t xml:space="preserve">キャリア採用人数（正社員への登用を含む）
</t>
    </r>
    <r>
      <rPr>
        <sz val="10"/>
        <color theme="1"/>
        <rFont val="Mazda Type"/>
      </rPr>
      <t>Number of mid-career hires (incl. appointments to permanent contracts)</t>
    </r>
    <phoneticPr fontId="1"/>
  </si>
  <si>
    <r>
      <rPr>
        <sz val="10"/>
        <color theme="1"/>
        <rFont val="源真ゴシックP Normal"/>
        <family val="3"/>
        <charset val="128"/>
      </rPr>
      <t>女性</t>
    </r>
    <r>
      <rPr>
        <sz val="10"/>
        <color theme="1"/>
        <rFont val="Mazda Type"/>
      </rPr>
      <t>Female</t>
    </r>
    <rPh sb="0" eb="2">
      <t>ジョセイ</t>
    </rPh>
    <phoneticPr fontId="1"/>
  </si>
  <si>
    <r>
      <rPr>
        <sz val="10"/>
        <color theme="1"/>
        <rFont val="源真ゴシックP Normal"/>
        <family val="3"/>
        <charset val="128"/>
      </rPr>
      <t xml:space="preserve">キャリア採用に占める女性比率 </t>
    </r>
    <r>
      <rPr>
        <sz val="10"/>
        <color theme="1"/>
        <rFont val="Mazda Type"/>
      </rPr>
      <t>Percentage of female mid-career hires</t>
    </r>
    <phoneticPr fontId="1"/>
  </si>
  <si>
    <r>
      <rPr>
        <sz val="10"/>
        <color theme="1"/>
        <rFont val="源真ゴシックP Normal"/>
        <family val="3"/>
        <charset val="128"/>
      </rPr>
      <t>女性管理職人数</t>
    </r>
    <r>
      <rPr>
        <vertAlign val="superscript"/>
        <sz val="10"/>
        <color theme="1"/>
        <rFont val="Mazda Type"/>
      </rPr>
      <t xml:space="preserve">*5 </t>
    </r>
    <r>
      <rPr>
        <sz val="10"/>
        <color theme="1"/>
        <rFont val="Mazda Type"/>
      </rPr>
      <t>Number of female managers</t>
    </r>
    <r>
      <rPr>
        <vertAlign val="superscript"/>
        <sz val="10"/>
        <color theme="1"/>
        <rFont val="Mazda Type"/>
      </rPr>
      <t>*5</t>
    </r>
    <phoneticPr fontId="1"/>
  </si>
  <si>
    <r>
      <rPr>
        <sz val="10"/>
        <color theme="1"/>
        <rFont val="源真ゴシックP Normal"/>
        <family val="3"/>
        <charset val="128"/>
      </rPr>
      <t xml:space="preserve">係長級以上
</t>
    </r>
    <r>
      <rPr>
        <sz val="10"/>
        <color theme="1"/>
        <rFont val="Mazda Type"/>
      </rPr>
      <t>Assistant manager and above</t>
    </r>
    <phoneticPr fontId="6"/>
  </si>
  <si>
    <r>
      <t>347</t>
    </r>
    <r>
      <rPr>
        <sz val="10"/>
        <color theme="1"/>
        <rFont val="Segoe UI Symbol"/>
        <family val="2"/>
      </rPr>
      <t>✔</t>
    </r>
    <phoneticPr fontId="1"/>
  </si>
  <si>
    <r>
      <rPr>
        <sz val="10"/>
        <color theme="1"/>
        <rFont val="源真ゴシックP Normal"/>
        <family val="3"/>
        <charset val="128"/>
      </rPr>
      <t xml:space="preserve">幹部級以上
</t>
    </r>
    <r>
      <rPr>
        <sz val="10"/>
        <color theme="1"/>
        <rFont val="Mazda Type"/>
      </rPr>
      <t>Middle management and above</t>
    </r>
    <phoneticPr fontId="6"/>
  </si>
  <si>
    <r>
      <t>71</t>
    </r>
    <r>
      <rPr>
        <sz val="10"/>
        <color theme="1"/>
        <rFont val="Segoe UI Symbol"/>
        <family val="2"/>
      </rPr>
      <t>✔</t>
    </r>
    <phoneticPr fontId="1"/>
  </si>
  <si>
    <r>
      <rPr>
        <sz val="10"/>
        <color theme="1"/>
        <rFont val="源真ゴシックP Normal"/>
        <family val="3"/>
        <charset val="128"/>
      </rPr>
      <t>女性管理職比率</t>
    </r>
    <r>
      <rPr>
        <vertAlign val="superscript"/>
        <sz val="10"/>
        <color theme="1"/>
        <rFont val="Mazda Type"/>
      </rPr>
      <t xml:space="preserve">*5 </t>
    </r>
    <r>
      <rPr>
        <sz val="10"/>
        <color theme="1"/>
        <rFont val="Mazda Type"/>
      </rPr>
      <t>Percentage of female managers</t>
    </r>
    <r>
      <rPr>
        <vertAlign val="superscript"/>
        <sz val="10"/>
        <color theme="1"/>
        <rFont val="Mazda Type"/>
      </rPr>
      <t>*5</t>
    </r>
    <phoneticPr fontId="1"/>
  </si>
  <si>
    <r>
      <rPr>
        <sz val="10"/>
        <color theme="1"/>
        <rFont val="源真ゴシックP Normal"/>
        <family val="3"/>
        <charset val="128"/>
      </rPr>
      <t>係長級以上</t>
    </r>
    <r>
      <rPr>
        <sz val="10"/>
        <color theme="1"/>
        <rFont val="Mazda Type"/>
      </rPr>
      <t xml:space="preserve">
Assistant manager and above</t>
    </r>
    <phoneticPr fontId="6"/>
  </si>
  <si>
    <r>
      <t>7.9</t>
    </r>
    <r>
      <rPr>
        <sz val="10"/>
        <color theme="1"/>
        <rFont val="Segoe UI Symbol"/>
        <family val="2"/>
      </rPr>
      <t>✔</t>
    </r>
    <phoneticPr fontId="1"/>
  </si>
  <si>
    <r>
      <rPr>
        <sz val="10"/>
        <color theme="1"/>
        <rFont val="源真ゴシックP Normal"/>
        <family val="3"/>
        <charset val="128"/>
      </rPr>
      <t>幹部級以上</t>
    </r>
    <r>
      <rPr>
        <sz val="10"/>
        <color theme="1"/>
        <rFont val="Mazda Type"/>
      </rPr>
      <t xml:space="preserve">
Middle management and above</t>
    </r>
    <phoneticPr fontId="6"/>
  </si>
  <si>
    <r>
      <t>4.3</t>
    </r>
    <r>
      <rPr>
        <sz val="10"/>
        <color theme="1"/>
        <rFont val="Segoe UI Symbol"/>
        <family val="2"/>
      </rPr>
      <t>✔</t>
    </r>
    <phoneticPr fontId="1"/>
  </si>
  <si>
    <r>
      <rPr>
        <sz val="10"/>
        <color theme="1"/>
        <rFont val="源真ゴシックP Normal"/>
        <family val="3"/>
        <charset val="128"/>
      </rPr>
      <t>男性管理職人数</t>
    </r>
    <r>
      <rPr>
        <vertAlign val="superscript"/>
        <sz val="10"/>
        <color theme="1"/>
        <rFont val="Mazda Type"/>
      </rPr>
      <t xml:space="preserve">*5 </t>
    </r>
    <r>
      <rPr>
        <sz val="10"/>
        <color theme="1"/>
        <rFont val="Mazda Type"/>
      </rPr>
      <t>Number of male managers</t>
    </r>
    <r>
      <rPr>
        <vertAlign val="superscript"/>
        <sz val="10"/>
        <color theme="1"/>
        <rFont val="Mazda Type"/>
      </rPr>
      <t>*5</t>
    </r>
    <phoneticPr fontId="1"/>
  </si>
  <si>
    <r>
      <t>1,575</t>
    </r>
    <r>
      <rPr>
        <sz val="10"/>
        <color theme="1"/>
        <rFont val="Segoe UI Symbol"/>
        <family val="2"/>
      </rPr>
      <t>✔</t>
    </r>
    <phoneticPr fontId="1"/>
  </si>
  <si>
    <r>
      <rPr>
        <sz val="10"/>
        <color theme="1"/>
        <rFont val="源真ゴシックP Normal"/>
        <family val="3"/>
        <charset val="128"/>
      </rPr>
      <t>管理職平均年齢</t>
    </r>
    <r>
      <rPr>
        <vertAlign val="superscript"/>
        <sz val="10"/>
        <color theme="1"/>
        <rFont val="Mazda Type"/>
      </rPr>
      <t xml:space="preserve">*5 </t>
    </r>
    <r>
      <rPr>
        <sz val="10"/>
        <color theme="1"/>
        <rFont val="Mazda Type"/>
      </rPr>
      <t>Average age of managers</t>
    </r>
    <r>
      <rPr>
        <vertAlign val="superscript"/>
        <sz val="10"/>
        <color theme="1"/>
        <rFont val="Mazda Type"/>
      </rPr>
      <t>*5</t>
    </r>
    <phoneticPr fontId="1"/>
  </si>
  <si>
    <r>
      <rPr>
        <sz val="10"/>
        <color theme="1"/>
        <rFont val="源真ゴシックP Normal"/>
        <family val="3"/>
        <charset val="128"/>
      </rPr>
      <t xml:space="preserve">歳 </t>
    </r>
    <r>
      <rPr>
        <sz val="10"/>
        <color theme="1"/>
        <rFont val="Mazda Type"/>
      </rPr>
      <t>Age</t>
    </r>
    <phoneticPr fontId="6"/>
  </si>
  <si>
    <r>
      <t>53.5</t>
    </r>
    <r>
      <rPr>
        <sz val="10"/>
        <color theme="1"/>
        <rFont val="Segoe UI Symbol"/>
        <family val="2"/>
      </rPr>
      <t>✔</t>
    </r>
    <phoneticPr fontId="1"/>
  </si>
  <si>
    <r>
      <rPr>
        <sz val="10"/>
        <color theme="1"/>
        <rFont val="源真ゴシックP Normal"/>
        <family val="3"/>
        <charset val="128"/>
      </rPr>
      <t>障がい者雇用率</t>
    </r>
    <r>
      <rPr>
        <vertAlign val="superscript"/>
        <sz val="10"/>
        <color theme="1"/>
        <rFont val="Mazda Type"/>
      </rPr>
      <t>*3</t>
    </r>
    <r>
      <rPr>
        <vertAlign val="superscript"/>
        <sz val="10"/>
        <color theme="1"/>
        <rFont val="Mazda Type"/>
        <family val="3"/>
      </rPr>
      <t>*</t>
    </r>
    <r>
      <rPr>
        <vertAlign val="superscript"/>
        <sz val="10"/>
        <color theme="1"/>
        <rFont val="Mazda Type"/>
      </rPr>
      <t xml:space="preserve">6 </t>
    </r>
    <r>
      <rPr>
        <sz val="10"/>
        <color theme="1"/>
        <rFont val="Mazda Type"/>
      </rPr>
      <t>Percentage of employees  of people with disabilities</t>
    </r>
    <r>
      <rPr>
        <vertAlign val="superscript"/>
        <sz val="10"/>
        <color theme="1"/>
        <rFont val="Mazda Type"/>
      </rPr>
      <t>*3</t>
    </r>
    <r>
      <rPr>
        <vertAlign val="superscript"/>
        <sz val="10"/>
        <color theme="1"/>
        <rFont val="Mazda Type"/>
        <family val="3"/>
      </rPr>
      <t>*</t>
    </r>
    <r>
      <rPr>
        <vertAlign val="superscript"/>
        <sz val="10"/>
        <color theme="1"/>
        <rFont val="Mazda Type"/>
      </rPr>
      <t>6</t>
    </r>
    <phoneticPr fontId="1"/>
  </si>
  <si>
    <r>
      <t>2.41</t>
    </r>
    <r>
      <rPr>
        <sz val="10"/>
        <color theme="1"/>
        <rFont val="Segoe UI Symbol"/>
        <family val="2"/>
      </rPr>
      <t>✔</t>
    </r>
    <phoneticPr fontId="1"/>
  </si>
  <si>
    <r>
      <rPr>
        <sz val="10"/>
        <color theme="1"/>
        <rFont val="源真ゴシックP Normal"/>
        <family val="3"/>
        <charset val="128"/>
      </rPr>
      <t>障がい者在籍数</t>
    </r>
    <r>
      <rPr>
        <vertAlign val="superscript"/>
        <sz val="10"/>
        <color theme="1"/>
        <rFont val="Mazda Type"/>
      </rPr>
      <t xml:space="preserve">*3 </t>
    </r>
    <r>
      <rPr>
        <sz val="10"/>
        <color theme="1"/>
        <rFont val="Mazda Type"/>
      </rPr>
      <t>Number of employees of people with disabilities</t>
    </r>
    <r>
      <rPr>
        <vertAlign val="superscript"/>
        <sz val="10"/>
        <color theme="1"/>
        <rFont val="Mazda Type"/>
      </rPr>
      <t>*3</t>
    </r>
    <phoneticPr fontId="1"/>
  </si>
  <si>
    <r>
      <t>399</t>
    </r>
    <r>
      <rPr>
        <sz val="10"/>
        <color theme="1"/>
        <rFont val="Segoe UI Symbol"/>
        <family val="2"/>
      </rPr>
      <t>✔</t>
    </r>
    <phoneticPr fontId="1"/>
  </si>
  <si>
    <r>
      <rPr>
        <sz val="10"/>
        <color theme="1"/>
        <rFont val="源真ゴシックP Normal"/>
        <family val="3"/>
        <charset val="128"/>
      </rPr>
      <t>離職率</t>
    </r>
    <r>
      <rPr>
        <vertAlign val="superscript"/>
        <sz val="10"/>
        <color theme="1"/>
        <rFont val="Mazda Type"/>
      </rPr>
      <t xml:space="preserve">*2*4 </t>
    </r>
    <r>
      <rPr>
        <sz val="10"/>
        <color theme="1"/>
        <rFont val="Mazda Type"/>
      </rPr>
      <t>Employee turnover rate</t>
    </r>
    <r>
      <rPr>
        <vertAlign val="superscript"/>
        <sz val="10"/>
        <color theme="1"/>
        <rFont val="Mazda Type"/>
      </rPr>
      <t>*2*4</t>
    </r>
    <phoneticPr fontId="1"/>
  </si>
  <si>
    <r>
      <t>2.6</t>
    </r>
    <r>
      <rPr>
        <sz val="10"/>
        <color theme="1"/>
        <rFont val="Segoe UI Symbol"/>
        <family val="2"/>
      </rPr>
      <t>✔</t>
    </r>
    <phoneticPr fontId="1"/>
  </si>
  <si>
    <r>
      <rPr>
        <sz val="10"/>
        <color theme="1"/>
        <rFont val="源真ゴシックP Normal"/>
        <family val="3"/>
        <charset val="128"/>
      </rPr>
      <t xml:space="preserve">新卒採用人数（大卒・短大卒・高卒）
</t>
    </r>
    <r>
      <rPr>
        <sz val="10"/>
        <color theme="1"/>
        <rFont val="Mazda Type"/>
      </rPr>
      <t>Number of new graduates hired (University, college and high school graduates)</t>
    </r>
    <phoneticPr fontId="1"/>
  </si>
  <si>
    <r>
      <rPr>
        <sz val="10"/>
        <color theme="1"/>
        <rFont val="源真ゴシックP Normal"/>
        <family val="3"/>
        <charset val="128"/>
      </rPr>
      <t xml:space="preserve">男性 </t>
    </r>
    <r>
      <rPr>
        <sz val="10"/>
        <color theme="1"/>
        <rFont val="Mazda Type"/>
      </rPr>
      <t>Male</t>
    </r>
    <phoneticPr fontId="1"/>
  </si>
  <si>
    <r>
      <rPr>
        <sz val="10"/>
        <color theme="1"/>
        <rFont val="源真ゴシックP Normal"/>
        <family val="3"/>
        <charset val="128"/>
      </rPr>
      <t xml:space="preserve">人 </t>
    </r>
    <r>
      <rPr>
        <sz val="10"/>
        <color theme="1"/>
        <rFont val="Mazda Type"/>
      </rPr>
      <t>persons</t>
    </r>
    <phoneticPr fontId="1"/>
  </si>
  <si>
    <r>
      <t>505</t>
    </r>
    <r>
      <rPr>
        <sz val="10"/>
        <color theme="1"/>
        <rFont val="Segoe UI Symbol"/>
        <family val="2"/>
      </rPr>
      <t>✔</t>
    </r>
    <phoneticPr fontId="1"/>
  </si>
  <si>
    <r>
      <rPr>
        <sz val="10"/>
        <color theme="1"/>
        <rFont val="源真ゴシックP Normal"/>
        <family val="3"/>
        <charset val="128"/>
      </rPr>
      <t xml:space="preserve">女性 </t>
    </r>
    <r>
      <rPr>
        <sz val="10"/>
        <color theme="1"/>
        <rFont val="Mazda Type"/>
      </rPr>
      <t>Female</t>
    </r>
    <phoneticPr fontId="1"/>
  </si>
  <si>
    <r>
      <t>81</t>
    </r>
    <r>
      <rPr>
        <sz val="10"/>
        <color theme="1"/>
        <rFont val="Segoe UI Symbol"/>
        <family val="2"/>
      </rPr>
      <t>✔</t>
    </r>
    <phoneticPr fontId="1"/>
  </si>
  <si>
    <r>
      <t xml:space="preserve">*1 </t>
    </r>
    <r>
      <rPr>
        <sz val="10"/>
        <color theme="1"/>
        <rFont val="源真ゴシックP Normal"/>
        <family val="3"/>
        <charset val="128"/>
      </rPr>
      <t xml:space="preserve">単体の社員数には、マツダ（株）外部から受け入れた出向者を除きマツダ（株）外部への出向者を含む
</t>
    </r>
    <r>
      <rPr>
        <sz val="10"/>
        <color theme="1"/>
        <rFont val="Mazda Type"/>
      </rPr>
      <t>*1 The “Non-consolidated” numbers exclude the number of employees dispatched to Mazda Motor Corporation from other companies, but include the number of Mazda Motor Corporation employees dispatched to other companies.</t>
    </r>
    <phoneticPr fontId="1"/>
  </si>
  <si>
    <r>
      <t xml:space="preserve">*2 </t>
    </r>
    <r>
      <rPr>
        <sz val="10"/>
        <color theme="1"/>
        <rFont val="源真ゴシックP Normal"/>
        <family val="3"/>
        <charset val="128"/>
      </rPr>
      <t xml:space="preserve">エキスパートファミリー含む定年後再雇用社員を除く
</t>
    </r>
    <r>
      <rPr>
        <sz val="10"/>
        <color theme="1"/>
        <rFont val="Mazda Type"/>
      </rPr>
      <t>*2 Exclude the number of employees rehired after retirement, including under the Expert Family system.</t>
    </r>
    <phoneticPr fontId="1"/>
  </si>
  <si>
    <r>
      <t xml:space="preserve">*3 </t>
    </r>
    <r>
      <rPr>
        <sz val="10"/>
        <color theme="1"/>
        <rFont val="源真ゴシックP Normal"/>
        <family val="3"/>
        <charset val="128"/>
      </rPr>
      <t xml:space="preserve">年度内の平均雇用者数
</t>
    </r>
    <r>
      <rPr>
        <sz val="10"/>
        <color theme="1"/>
        <rFont val="Mazda Type"/>
      </rPr>
      <t>*3 Average number in each fiscal year</t>
    </r>
    <phoneticPr fontId="1"/>
  </si>
  <si>
    <r>
      <t>*4 2022</t>
    </r>
    <r>
      <rPr>
        <sz val="10"/>
        <color theme="1"/>
        <rFont val="源真ゴシックP Normal"/>
        <family val="3"/>
        <charset val="128"/>
      </rPr>
      <t xml:space="preserve">年度は定年延長制度の導入により、定年退職者数減少のため、離職率急減
</t>
    </r>
    <r>
      <rPr>
        <sz val="10"/>
        <color theme="1"/>
        <rFont val="Mazda Type"/>
      </rPr>
      <t>*4 In FY March 2023, due to an extension of retirement age, the number of employees leaving due to retirement decreased, the employee turnover rate rapidly decreased.</t>
    </r>
    <phoneticPr fontId="1"/>
  </si>
  <si>
    <r>
      <t xml:space="preserve">*5 </t>
    </r>
    <r>
      <rPr>
        <sz val="10"/>
        <color theme="1"/>
        <rFont val="源真ゴシックP Normal"/>
        <family val="3"/>
        <charset val="128"/>
      </rPr>
      <t xml:space="preserve">各年度末時点の実績
</t>
    </r>
    <r>
      <rPr>
        <sz val="10"/>
        <color theme="1"/>
        <rFont val="Mazda Type"/>
      </rPr>
      <t>*5 Results as of the end of each fiscal year</t>
    </r>
    <phoneticPr fontId="1"/>
  </si>
  <si>
    <r>
      <rPr>
        <sz val="10"/>
        <color theme="1"/>
        <rFont val="Mazda Type"/>
      </rPr>
      <t>*6</t>
    </r>
    <r>
      <rPr>
        <sz val="10"/>
        <color theme="1"/>
        <rFont val="源真ゴシックP Normal"/>
        <family val="3"/>
        <charset val="128"/>
      </rPr>
      <t xml:space="preserve"> 障がい者雇用の法定雇用率：2021年度～2023年度の法定雇用率は</t>
    </r>
    <r>
      <rPr>
        <sz val="10"/>
        <color theme="1"/>
        <rFont val="Mazda Type"/>
      </rPr>
      <t>2.3</t>
    </r>
    <r>
      <rPr>
        <sz val="10"/>
        <color theme="1"/>
        <rFont val="源真ゴシックP Normal"/>
        <family val="3"/>
        <charset val="128"/>
      </rPr>
      <t xml:space="preserve">％
</t>
    </r>
    <r>
      <rPr>
        <sz val="10"/>
        <color theme="1"/>
        <rFont val="Mazda Type"/>
      </rPr>
      <t>*6</t>
    </r>
    <r>
      <rPr>
        <sz val="10"/>
        <color theme="1"/>
        <rFont val="源真ゴシックP Normal"/>
        <family val="3"/>
        <charset val="128"/>
      </rPr>
      <t xml:space="preserve"> Legally mandated level of employment of people with disabilities: Legally  mandated level of 2.3% for the period FY March 2022 to FY March 2024.</t>
    </r>
    <rPh sb="3" eb="4">
      <t>ショウ</t>
    </rPh>
    <rPh sb="6" eb="7">
      <t>シャ</t>
    </rPh>
    <rPh sb="7" eb="9">
      <t>コヨウ</t>
    </rPh>
    <rPh sb="10" eb="12">
      <t>ホウテイ</t>
    </rPh>
    <phoneticPr fontId="1"/>
  </si>
  <si>
    <r>
      <rPr>
        <b/>
        <sz val="12"/>
        <color theme="1"/>
        <rFont val="源真ゴシックP Normal"/>
        <family val="3"/>
        <charset val="128"/>
      </rPr>
      <t>従業員</t>
    </r>
    <r>
      <rPr>
        <b/>
        <sz val="12"/>
        <color theme="1"/>
        <rFont val="Yu Gothic"/>
        <charset val="128"/>
      </rPr>
      <t>：</t>
    </r>
    <r>
      <rPr>
        <b/>
        <sz val="12"/>
        <color theme="1"/>
        <rFont val="源真ゴシックP Normal"/>
        <family val="3"/>
        <charset val="128"/>
      </rPr>
      <t xml:space="preserve">連結 </t>
    </r>
    <r>
      <rPr>
        <b/>
        <sz val="12"/>
        <color theme="1"/>
        <rFont val="Mazda Type"/>
      </rPr>
      <t>Number of consolidated employees: Consolidated</t>
    </r>
    <rPh sb="0" eb="3">
      <t>ジュウギョウイン</t>
    </rPh>
    <rPh sb="4" eb="6">
      <t>レンケツ</t>
    </rPh>
    <phoneticPr fontId="1"/>
  </si>
  <si>
    <r>
      <rPr>
        <sz val="10"/>
        <color theme="1"/>
        <rFont val="源真ゴシックP Normal"/>
        <family val="3"/>
        <charset val="128"/>
      </rPr>
      <t xml:space="preserve">単位
</t>
    </r>
    <r>
      <rPr>
        <sz val="10"/>
        <color theme="1"/>
        <rFont val="Mazda Type"/>
      </rPr>
      <t>Unit</t>
    </r>
    <rPh sb="0" eb="2">
      <t>タンイ</t>
    </rPh>
    <phoneticPr fontId="1"/>
  </si>
  <si>
    <r>
      <t>2024</t>
    </r>
    <r>
      <rPr>
        <sz val="10"/>
        <color theme="1"/>
        <rFont val="源真ゴシックP Normal"/>
        <family val="3"/>
        <charset val="128"/>
      </rPr>
      <t>年</t>
    </r>
    <r>
      <rPr>
        <sz val="10"/>
        <color theme="1"/>
        <rFont val="Mazda Type"/>
      </rPr>
      <t>3</t>
    </r>
    <r>
      <rPr>
        <sz val="10"/>
        <color theme="1"/>
        <rFont val="源真ゴシックP Normal"/>
        <family val="3"/>
        <charset val="128"/>
      </rPr>
      <t>月</t>
    </r>
    <r>
      <rPr>
        <sz val="10"/>
        <color theme="1"/>
        <rFont val="Mazda Type"/>
      </rPr>
      <t>31</t>
    </r>
    <r>
      <rPr>
        <sz val="10"/>
        <color theme="1"/>
        <rFont val="源真ゴシックP Normal"/>
        <family val="3"/>
        <charset val="128"/>
      </rPr>
      <t xml:space="preserve">日時点
</t>
    </r>
    <r>
      <rPr>
        <sz val="10"/>
        <color theme="1"/>
        <rFont val="Mazda Type"/>
      </rPr>
      <t>FY March 2024</t>
    </r>
    <rPh sb="4" eb="5">
      <t>ネン</t>
    </rPh>
    <rPh sb="6" eb="7">
      <t>ガツ</t>
    </rPh>
    <rPh sb="9" eb="10">
      <t>ニチ</t>
    </rPh>
    <rPh sb="10" eb="12">
      <t>ジテン</t>
    </rPh>
    <phoneticPr fontId="1"/>
  </si>
  <si>
    <r>
      <rPr>
        <sz val="10"/>
        <color theme="1"/>
        <rFont val="源真ゴシックP Normal"/>
        <family val="3"/>
        <charset val="128"/>
      </rPr>
      <t>従業員数</t>
    </r>
    <r>
      <rPr>
        <sz val="10"/>
        <color theme="1"/>
        <rFont val="Mazda Type"/>
        <family val="3"/>
      </rPr>
      <t>*</t>
    </r>
    <r>
      <rPr>
        <sz val="10"/>
        <color theme="1"/>
        <rFont val="ＭＳ Ｐゴシック"/>
        <family val="3"/>
        <charset val="128"/>
      </rPr>
      <t>　</t>
    </r>
    <r>
      <rPr>
        <sz val="10"/>
        <color theme="1"/>
        <rFont val="源真ゴシックP Normal"/>
        <family val="3"/>
        <charset val="128"/>
      </rPr>
      <t xml:space="preserve"> </t>
    </r>
    <r>
      <rPr>
        <sz val="10"/>
        <color theme="1"/>
        <rFont val="Mazda Type"/>
      </rPr>
      <t>Number of employees*</t>
    </r>
    <rPh sb="0" eb="3">
      <t>ジュウギョウイン</t>
    </rPh>
    <phoneticPr fontId="1"/>
  </si>
  <si>
    <r>
      <rPr>
        <sz val="10"/>
        <color theme="1"/>
        <rFont val="源真ゴシックP Normal"/>
        <family val="3"/>
        <charset val="128"/>
      </rPr>
      <t xml:space="preserve">人 </t>
    </r>
    <r>
      <rPr>
        <sz val="10"/>
        <color theme="1"/>
        <rFont val="Mazda Type"/>
      </rPr>
      <t>persons</t>
    </r>
    <rPh sb="0" eb="1">
      <t>ニン</t>
    </rPh>
    <phoneticPr fontId="6"/>
  </si>
  <si>
    <r>
      <t>48,685</t>
    </r>
    <r>
      <rPr>
        <sz val="10"/>
        <color theme="1"/>
        <rFont val="Segoe UI Symbol"/>
        <family val="2"/>
      </rPr>
      <t>✔</t>
    </r>
    <phoneticPr fontId="1"/>
  </si>
  <si>
    <r>
      <t>*</t>
    </r>
    <r>
      <rPr>
        <sz val="10"/>
        <color theme="1"/>
        <rFont val="源真ゴシックP Normal"/>
        <family val="3"/>
        <charset val="128"/>
      </rPr>
      <t>年度末時点の実績。</t>
    </r>
    <r>
      <rPr>
        <sz val="10"/>
        <color theme="1"/>
        <rFont val="Mazda Type"/>
      </rPr>
      <t xml:space="preserve"> </t>
    </r>
    <r>
      <rPr>
        <sz val="10"/>
        <color theme="1"/>
        <rFont val="源真ゴシックP Normal"/>
        <family val="3"/>
        <charset val="128"/>
      </rPr>
      <t xml:space="preserve">連結の従業員数には、マツダグループ外部への出向者を除き、グループ外部から受け入れた出向者を含む
</t>
    </r>
    <r>
      <rPr>
        <sz val="10"/>
        <color theme="1"/>
        <rFont val="Mazda Type"/>
      </rPr>
      <t>* Results as of the end of fiscal year. The “Consolidated” numbers exclude the number of Mazda Group employees dispatched to companies outside the Group, but include the number of employees dispatched to Mazda Group companies from outside the Group.</t>
    </r>
    <rPh sb="14" eb="17">
      <t>ジュウギョウイン</t>
    </rPh>
    <phoneticPr fontId="6"/>
  </si>
  <si>
    <r>
      <rPr>
        <b/>
        <sz val="12"/>
        <color theme="1"/>
        <rFont val="源真ゴシックP Normal"/>
        <family val="3"/>
        <charset val="128"/>
      </rPr>
      <t xml:space="preserve">地域別従業員割合 </t>
    </r>
    <r>
      <rPr>
        <b/>
        <sz val="12"/>
        <color theme="1"/>
        <rFont val="Mazda Type"/>
      </rPr>
      <t>Rate of employees by region</t>
    </r>
    <rPh sb="0" eb="2">
      <t>チイキ</t>
    </rPh>
    <rPh sb="2" eb="3">
      <t>ベツ</t>
    </rPh>
    <rPh sb="3" eb="6">
      <t>ジュウギョウイン</t>
    </rPh>
    <rPh sb="6" eb="8">
      <t>ワリアイ</t>
    </rPh>
    <phoneticPr fontId="1"/>
  </si>
  <si>
    <r>
      <rPr>
        <sz val="10"/>
        <color theme="1"/>
        <rFont val="源真ゴシックP Normal"/>
        <family val="3"/>
        <charset val="128"/>
      </rPr>
      <t xml:space="preserve">日本 </t>
    </r>
    <r>
      <rPr>
        <sz val="10"/>
        <color theme="1"/>
        <rFont val="Mazda Type"/>
      </rPr>
      <t>Japan</t>
    </r>
    <rPh sb="0" eb="2">
      <t>ニホン</t>
    </rPh>
    <phoneticPr fontId="1"/>
  </si>
  <si>
    <r>
      <rPr>
        <sz val="10"/>
        <color theme="1"/>
        <rFont val="源真ゴシックP Normal"/>
        <family val="3"/>
        <charset val="128"/>
      </rPr>
      <t>％</t>
    </r>
    <phoneticPr fontId="1"/>
  </si>
  <si>
    <r>
      <rPr>
        <sz val="10"/>
        <color theme="1"/>
        <rFont val="源真ゴシックP Normal"/>
        <family val="3"/>
        <charset val="128"/>
      </rPr>
      <t>北米</t>
    </r>
    <r>
      <rPr>
        <sz val="10"/>
        <color theme="1"/>
        <rFont val="Mazda Type"/>
      </rPr>
      <t>(</t>
    </r>
    <r>
      <rPr>
        <sz val="10"/>
        <color theme="1"/>
        <rFont val="源真ゴシックP Normal"/>
        <family val="3"/>
        <charset val="128"/>
      </rPr>
      <t>メキシコを含む</t>
    </r>
    <r>
      <rPr>
        <sz val="10"/>
        <color theme="1"/>
        <rFont val="Mazda Type"/>
      </rPr>
      <t>) North America</t>
    </r>
    <r>
      <rPr>
        <sz val="10"/>
        <color theme="1"/>
        <rFont val="源真ゴシックP Normal"/>
        <family val="3"/>
        <charset val="128"/>
      </rPr>
      <t>（</t>
    </r>
    <r>
      <rPr>
        <sz val="10"/>
        <color theme="1"/>
        <rFont val="Mazda Type"/>
      </rPr>
      <t>Including Mexico</t>
    </r>
    <r>
      <rPr>
        <sz val="10"/>
        <color theme="1"/>
        <rFont val="源真ゴシックP Normal"/>
        <family val="3"/>
        <charset val="128"/>
      </rPr>
      <t>）</t>
    </r>
    <rPh sb="0" eb="2">
      <t>ホクベイ</t>
    </rPh>
    <rPh sb="8" eb="9">
      <t>フク</t>
    </rPh>
    <phoneticPr fontId="1"/>
  </si>
  <si>
    <r>
      <rPr>
        <sz val="10"/>
        <color theme="1"/>
        <rFont val="源真ゴシックP Normal"/>
        <family val="3"/>
        <charset val="128"/>
      </rPr>
      <t xml:space="preserve">欧州 </t>
    </r>
    <r>
      <rPr>
        <sz val="10"/>
        <color theme="1"/>
        <rFont val="Mazda Type"/>
      </rPr>
      <t>Europe</t>
    </r>
    <phoneticPr fontId="1"/>
  </si>
  <si>
    <r>
      <rPr>
        <sz val="10"/>
        <color theme="1"/>
        <rFont val="源真ゴシックP Normal"/>
        <family val="3"/>
        <charset val="128"/>
      </rPr>
      <t xml:space="preserve">その他地域 </t>
    </r>
    <r>
      <rPr>
        <sz val="10"/>
        <color theme="1"/>
        <rFont val="Mazda Type"/>
      </rPr>
      <t>Other regions</t>
    </r>
    <phoneticPr fontId="1"/>
  </si>
  <si>
    <r>
      <t>2023</t>
    </r>
    <r>
      <rPr>
        <b/>
        <sz val="12"/>
        <color theme="1"/>
        <rFont val="源真ゴシックP Normal"/>
        <family val="3"/>
        <charset val="128"/>
      </rPr>
      <t>年度男女別給与</t>
    </r>
    <r>
      <rPr>
        <b/>
        <sz val="12"/>
        <color theme="1"/>
        <rFont val="Yu Gothic"/>
        <charset val="128"/>
      </rPr>
      <t>：</t>
    </r>
    <r>
      <rPr>
        <b/>
        <sz val="12"/>
        <color theme="1"/>
        <rFont val="源真ゴシックP Normal"/>
        <family val="3"/>
        <charset val="128"/>
      </rPr>
      <t xml:space="preserve">単体 </t>
    </r>
    <r>
      <rPr>
        <b/>
        <sz val="12"/>
        <color theme="1"/>
        <rFont val="Mazda Type"/>
      </rPr>
      <t>FY March 2024 average salary by gender: Non-consolidated</t>
    </r>
    <rPh sb="4" eb="5">
      <t>ネン</t>
    </rPh>
    <rPh sb="5" eb="6">
      <t>ド</t>
    </rPh>
    <rPh sb="6" eb="9">
      <t>ダンジョベツ</t>
    </rPh>
    <rPh sb="9" eb="11">
      <t>キュウヨ</t>
    </rPh>
    <phoneticPr fontId="1"/>
  </si>
  <si>
    <r>
      <rPr>
        <sz val="10"/>
        <color theme="1"/>
        <rFont val="源真ゴシックP Normal"/>
        <family val="3"/>
        <charset val="128"/>
      </rPr>
      <t xml:space="preserve">全社 </t>
    </r>
    <r>
      <rPr>
        <sz val="10"/>
        <color theme="1"/>
        <rFont val="Mazda Type"/>
      </rPr>
      <t>Company-wide</t>
    </r>
    <rPh sb="0" eb="2">
      <t>ゼンシャ</t>
    </rPh>
    <phoneticPr fontId="6"/>
  </si>
  <si>
    <r>
      <rPr>
        <sz val="10"/>
        <color theme="1"/>
        <rFont val="源真ゴシックP Normal"/>
        <family val="3"/>
        <charset val="128"/>
      </rPr>
      <t xml:space="preserve">正社員 </t>
    </r>
    <r>
      <rPr>
        <sz val="10"/>
        <color theme="1"/>
        <rFont val="Mazda Type"/>
      </rPr>
      <t>Full-time employees</t>
    </r>
    <rPh sb="0" eb="3">
      <t>セイシャイン</t>
    </rPh>
    <phoneticPr fontId="6"/>
  </si>
  <si>
    <r>
      <rPr>
        <sz val="10"/>
        <color theme="1"/>
        <rFont val="源真ゴシックP Normal"/>
        <family val="3"/>
        <charset val="128"/>
      </rPr>
      <t xml:space="preserve">非正規社員 </t>
    </r>
    <r>
      <rPr>
        <sz val="10"/>
        <color theme="1"/>
        <rFont val="Mazda Type"/>
      </rPr>
      <t>Limited-term employees</t>
    </r>
    <rPh sb="0" eb="3">
      <t>ヒセイキ</t>
    </rPh>
    <rPh sb="3" eb="5">
      <t>シャイン</t>
    </rPh>
    <phoneticPr fontId="6"/>
  </si>
  <si>
    <r>
      <rPr>
        <sz val="10"/>
        <color theme="1"/>
        <rFont val="源真ゴシックP Normal"/>
        <family val="3"/>
        <charset val="128"/>
      </rPr>
      <t xml:space="preserve">男性 </t>
    </r>
    <r>
      <rPr>
        <sz val="10"/>
        <color theme="1"/>
        <rFont val="Mazda Type"/>
      </rPr>
      <t>Male</t>
    </r>
    <rPh sb="0" eb="2">
      <t>ダンセイ</t>
    </rPh>
    <phoneticPr fontId="6"/>
  </si>
  <si>
    <r>
      <rPr>
        <sz val="10"/>
        <color theme="1"/>
        <rFont val="源真ゴシックP Normal"/>
        <family val="3"/>
        <charset val="128"/>
      </rPr>
      <t xml:space="preserve">女性 </t>
    </r>
    <r>
      <rPr>
        <sz val="10"/>
        <color theme="1"/>
        <rFont val="Mazda Type"/>
      </rPr>
      <t>Female</t>
    </r>
    <rPh sb="0" eb="2">
      <t>ジョセイ</t>
    </rPh>
    <phoneticPr fontId="6"/>
  </si>
  <si>
    <r>
      <rPr>
        <sz val="10"/>
        <color theme="1"/>
        <rFont val="源真ゴシックP Normal"/>
        <family val="3"/>
        <charset val="128"/>
      </rPr>
      <t xml:space="preserve">年間総賃金 </t>
    </r>
    <r>
      <rPr>
        <sz val="10"/>
        <color theme="1"/>
        <rFont val="Mazda Type"/>
      </rPr>
      <t>Total annual salary expenses</t>
    </r>
    <phoneticPr fontId="6"/>
  </si>
  <si>
    <r>
      <rPr>
        <sz val="10"/>
        <color theme="1"/>
        <rFont val="源真ゴシックP Normal"/>
        <family val="3"/>
        <charset val="128"/>
      </rPr>
      <t xml:space="preserve">千円 </t>
    </r>
    <r>
      <rPr>
        <sz val="10"/>
        <color theme="1"/>
        <rFont val="Mazda Type"/>
      </rPr>
      <t>1,000 yen</t>
    </r>
    <rPh sb="0" eb="2">
      <t>センエン</t>
    </rPh>
    <phoneticPr fontId="6"/>
  </si>
  <si>
    <r>
      <rPr>
        <sz val="10"/>
        <color theme="1"/>
        <rFont val="源真ゴシックP Normal"/>
        <family val="3"/>
        <charset val="128"/>
      </rPr>
      <t xml:space="preserve">労働者の人員数 </t>
    </r>
    <r>
      <rPr>
        <sz val="10"/>
        <color theme="1"/>
        <rFont val="Mazda Type"/>
      </rPr>
      <t>Number of employees</t>
    </r>
    <phoneticPr fontId="6"/>
  </si>
  <si>
    <r>
      <rPr>
        <sz val="10"/>
        <color theme="1"/>
        <rFont val="源真ゴシックP Normal"/>
        <family val="3"/>
        <charset val="128"/>
      </rPr>
      <t xml:space="preserve">年間平均賃金 </t>
    </r>
    <r>
      <rPr>
        <sz val="10"/>
        <color theme="1"/>
        <rFont val="Mazda Type"/>
      </rPr>
      <t>Average annual salary</t>
    </r>
    <phoneticPr fontId="6"/>
  </si>
  <si>
    <r>
      <rPr>
        <sz val="10"/>
        <color theme="1"/>
        <rFont val="源真ゴシックP Normal"/>
        <family val="3"/>
        <charset val="128"/>
      </rPr>
      <t xml:space="preserve">男女賃金格差 </t>
    </r>
    <r>
      <rPr>
        <sz val="10"/>
        <color theme="1"/>
        <rFont val="Mazda Type"/>
      </rPr>
      <t>Gender pay gap</t>
    </r>
    <phoneticPr fontId="6"/>
  </si>
  <si>
    <r>
      <rPr>
        <b/>
        <sz val="12"/>
        <color theme="1"/>
        <rFont val="源真ゴシックP Normal"/>
        <family val="3"/>
        <charset val="128"/>
      </rPr>
      <t>ワークライフバランスとダイバーシティ推進に向けた主な施策・実績*1</t>
    </r>
    <r>
      <rPr>
        <b/>
        <sz val="12"/>
        <color theme="1"/>
        <rFont val="ＭＳ Ｐゴシック"/>
        <family val="3"/>
        <charset val="128"/>
      </rPr>
      <t>：</t>
    </r>
    <r>
      <rPr>
        <b/>
        <sz val="12"/>
        <color theme="1"/>
        <rFont val="源真ゴシックP Normal"/>
        <family val="3"/>
        <charset val="128"/>
      </rPr>
      <t xml:space="preserve">単体
</t>
    </r>
    <r>
      <rPr>
        <b/>
        <sz val="12"/>
        <color theme="1"/>
        <rFont val="Mazda Type"/>
      </rPr>
      <t>Major Measures and Results to Promote Work-Life Balance and Diversity in the Workplace*1: Non-consolidated</t>
    </r>
    <rPh sb="18" eb="20">
      <t>スイシン</t>
    </rPh>
    <rPh sb="21" eb="22">
      <t>ム</t>
    </rPh>
    <rPh sb="24" eb="25">
      <t>オモ</t>
    </rPh>
    <rPh sb="26" eb="28">
      <t>シサク</t>
    </rPh>
    <rPh sb="29" eb="31">
      <t>ジッセキ</t>
    </rPh>
    <phoneticPr fontId="1"/>
  </si>
  <si>
    <r>
      <rPr>
        <sz val="10"/>
        <color theme="1"/>
        <rFont val="源真ゴシックP Normal"/>
        <family val="3"/>
        <charset val="128"/>
      </rPr>
      <t xml:space="preserve">施策名
</t>
    </r>
    <r>
      <rPr>
        <sz val="10"/>
        <color theme="1"/>
        <rFont val="Mazda Type"/>
      </rPr>
      <t>System</t>
    </r>
    <phoneticPr fontId="1"/>
  </si>
  <si>
    <r>
      <rPr>
        <sz val="10"/>
        <color theme="1"/>
        <rFont val="源真ゴシックP Normal"/>
        <family val="3"/>
        <charset val="128"/>
      </rPr>
      <t xml:space="preserve">単位
</t>
    </r>
    <r>
      <rPr>
        <sz val="10"/>
        <color theme="1"/>
        <rFont val="Mazda Type"/>
      </rPr>
      <t>Unit</t>
    </r>
    <phoneticPr fontId="1"/>
  </si>
  <si>
    <r>
      <rPr>
        <sz val="10"/>
        <color theme="1"/>
        <rFont val="源真ゴシックP Normal"/>
        <family val="3"/>
        <charset val="128"/>
      </rPr>
      <t xml:space="preserve">母性保護休暇 </t>
    </r>
    <r>
      <rPr>
        <sz val="10"/>
        <color theme="1"/>
        <rFont val="Mazda Type"/>
      </rPr>
      <t>Maternal care paid leave</t>
    </r>
    <phoneticPr fontId="1"/>
  </si>
  <si>
    <r>
      <rPr>
        <sz val="10"/>
        <color theme="1"/>
        <rFont val="源真ゴシックP Normal"/>
        <family val="3"/>
        <charset val="128"/>
      </rPr>
      <t xml:space="preserve">取得者 </t>
    </r>
    <r>
      <rPr>
        <sz val="10"/>
        <color theme="1"/>
        <rFont val="Mazda Type"/>
      </rPr>
      <t>Number of beneficiaries</t>
    </r>
    <phoneticPr fontId="6"/>
  </si>
  <si>
    <r>
      <rPr>
        <sz val="10"/>
        <color theme="1"/>
        <rFont val="源真ゴシックP Normal"/>
        <family val="3"/>
        <charset val="128"/>
      </rPr>
      <t>人</t>
    </r>
    <r>
      <rPr>
        <sz val="10"/>
        <color theme="1"/>
        <rFont val="Mazda Type"/>
      </rPr>
      <t>(</t>
    </r>
    <r>
      <rPr>
        <sz val="10"/>
        <color theme="1"/>
        <rFont val="源真ゴシックP Normal"/>
        <family val="3"/>
        <charset val="128"/>
      </rPr>
      <t>日</t>
    </r>
    <r>
      <rPr>
        <sz val="10"/>
        <color theme="1"/>
        <rFont val="Mazda Type"/>
      </rPr>
      <t>)
persons (Days)</t>
    </r>
    <rPh sb="2" eb="3">
      <t>ニチ</t>
    </rPh>
    <phoneticPr fontId="6"/>
  </si>
  <si>
    <r>
      <rPr>
        <sz val="10"/>
        <color theme="1"/>
        <rFont val="源真ゴシックP Normal"/>
        <family val="3"/>
        <charset val="128"/>
      </rPr>
      <t xml:space="preserve">合計 </t>
    </r>
    <r>
      <rPr>
        <sz val="10"/>
        <color theme="1"/>
        <rFont val="Mazda Type"/>
      </rPr>
      <t>Total</t>
    </r>
    <phoneticPr fontId="1"/>
  </si>
  <si>
    <r>
      <rPr>
        <sz val="10"/>
        <color theme="1"/>
        <rFont val="源真ゴシックP Normal"/>
        <family val="3"/>
        <charset val="128"/>
      </rPr>
      <t xml:space="preserve">出生時育児休職 </t>
    </r>
    <r>
      <rPr>
        <sz val="10"/>
        <color theme="1"/>
        <rFont val="Mazda Type"/>
      </rPr>
      <t>Maternity/paternity leave</t>
    </r>
    <phoneticPr fontId="1"/>
  </si>
  <si>
    <r>
      <rPr>
        <sz val="10"/>
        <color theme="1"/>
        <rFont val="源真ゴシックP Normal"/>
        <family val="3"/>
        <charset val="128"/>
      </rPr>
      <t xml:space="preserve">復職率 </t>
    </r>
    <r>
      <rPr>
        <sz val="10"/>
        <color theme="1"/>
        <rFont val="Mazda Type"/>
      </rPr>
      <t>Rate of reinstatement</t>
    </r>
    <phoneticPr fontId="1"/>
  </si>
  <si>
    <r>
      <rPr>
        <sz val="10"/>
        <color theme="1"/>
        <rFont val="源真ゴシックP Normal"/>
        <family val="3"/>
        <charset val="128"/>
      </rPr>
      <t xml:space="preserve">法定看護休暇
</t>
    </r>
    <r>
      <rPr>
        <sz val="10"/>
        <color theme="1"/>
        <rFont val="Mazda Type"/>
      </rPr>
      <t>Statutory child-nursing leave</t>
    </r>
    <phoneticPr fontId="1"/>
  </si>
  <si>
    <r>
      <rPr>
        <sz val="10"/>
        <color theme="1"/>
        <rFont val="源真ゴシックP Normal"/>
        <family val="3"/>
        <charset val="128"/>
      </rPr>
      <t xml:space="preserve">育児･介護に関わる勤務特例措置
</t>
    </r>
    <r>
      <rPr>
        <sz val="10"/>
        <color theme="1"/>
        <rFont val="Mazda Type"/>
      </rPr>
      <t>Special working arrangements for employees involved with child-rearing or nursing</t>
    </r>
    <phoneticPr fontId="6"/>
  </si>
  <si>
    <r>
      <rPr>
        <sz val="10"/>
        <color theme="1"/>
        <rFont val="源真ゴシックP Normal"/>
        <family val="3"/>
        <charset val="128"/>
      </rPr>
      <t xml:space="preserve">育児短時間勤務 </t>
    </r>
    <r>
      <rPr>
        <sz val="10"/>
        <color theme="1"/>
        <rFont val="Mazda Type"/>
      </rPr>
      <t>Employees with reduced working hours: For child-rearing</t>
    </r>
    <phoneticPr fontId="6"/>
  </si>
  <si>
    <r>
      <rPr>
        <sz val="10"/>
        <color theme="1"/>
        <rFont val="源真ゴシックP Normal"/>
        <family val="3"/>
        <charset val="128"/>
      </rPr>
      <t xml:space="preserve">介護短時間勤務
</t>
    </r>
    <r>
      <rPr>
        <sz val="10"/>
        <color theme="1"/>
        <rFont val="Mazda Type"/>
      </rPr>
      <t>Employees with reduced working hours: For nursing care</t>
    </r>
    <phoneticPr fontId="6"/>
  </si>
  <si>
    <r>
      <rPr>
        <sz val="10"/>
        <color theme="1"/>
        <rFont val="源真ゴシックP Normal"/>
        <family val="3"/>
        <charset val="128"/>
      </rPr>
      <t xml:space="preserve">法定介護休暇
</t>
    </r>
    <r>
      <rPr>
        <sz val="10"/>
        <color theme="1"/>
        <rFont val="Mazda Type"/>
      </rPr>
      <t>Statutory nursing care leave</t>
    </r>
    <phoneticPr fontId="6"/>
  </si>
  <si>
    <r>
      <rPr>
        <sz val="10"/>
        <color theme="1"/>
        <rFont val="源真ゴシックP Normal"/>
        <family val="3"/>
        <charset val="128"/>
      </rPr>
      <t xml:space="preserve">介護休職
</t>
    </r>
    <r>
      <rPr>
        <sz val="10"/>
        <color theme="1"/>
        <rFont val="Mazda Type"/>
      </rPr>
      <t>Nursing care leave</t>
    </r>
    <phoneticPr fontId="1"/>
  </si>
  <si>
    <r>
      <rPr>
        <sz val="10"/>
        <color theme="1"/>
        <rFont val="源真ゴシックP Normal"/>
        <family val="3"/>
        <charset val="128"/>
      </rPr>
      <t>リモートワーク</t>
    </r>
    <r>
      <rPr>
        <vertAlign val="superscript"/>
        <sz val="10"/>
        <color theme="1"/>
        <rFont val="Mazda Type"/>
      </rPr>
      <t xml:space="preserve"> </t>
    </r>
    <r>
      <rPr>
        <sz val="10"/>
        <color theme="1"/>
        <rFont val="Mazda Type"/>
      </rPr>
      <t>Working from home</t>
    </r>
    <phoneticPr fontId="6"/>
  </si>
  <si>
    <r>
      <rPr>
        <sz val="10"/>
        <color theme="1"/>
        <rFont val="源真ゴシックP Normal"/>
        <family val="3"/>
        <charset val="128"/>
      </rPr>
      <t xml:space="preserve">利用者 </t>
    </r>
    <r>
      <rPr>
        <sz val="10"/>
        <color theme="1"/>
        <rFont val="Mazda Type"/>
      </rPr>
      <t>User</t>
    </r>
    <phoneticPr fontId="1"/>
  </si>
  <si>
    <r>
      <rPr>
        <sz val="10"/>
        <color theme="1"/>
        <rFont val="源真ゴシックP Normal"/>
        <family val="3"/>
        <charset val="128"/>
      </rPr>
      <t xml:space="preserve">ハートフル休暇 </t>
    </r>
    <r>
      <rPr>
        <sz val="10"/>
        <color theme="1"/>
        <rFont val="Mazda Type"/>
      </rPr>
      <t>Special Warm Heart leave system</t>
    </r>
    <r>
      <rPr>
        <sz val="10"/>
        <color theme="1"/>
        <rFont val="Mazda Type"/>
        <family val="3"/>
        <charset val="128"/>
      </rPr>
      <t xml:space="preserve">
</t>
    </r>
    <r>
      <rPr>
        <sz val="10"/>
        <color theme="1"/>
        <rFont val="源真ゴシックP Normal"/>
        <family val="3"/>
        <charset val="128"/>
      </rPr>
      <t>注：2021年度および2022年度の数値について、一部誤りがございましたので、数値を訂正・更新しています。</t>
    </r>
    <r>
      <rPr>
        <sz val="10"/>
        <color theme="1"/>
        <rFont val="ＭＳ Ｐゴシック"/>
        <family val="3"/>
        <charset val="128"/>
      </rPr>
      <t xml:space="preserve">
</t>
    </r>
    <r>
      <rPr>
        <sz val="10"/>
        <color theme="1"/>
        <rFont val="Mazda Type"/>
        <family val="3"/>
      </rPr>
      <t>Note: Figures for FY March 2022 and FY March 2023 have been updated due to some errors in the calculations.</t>
    </r>
    <rPh sb="41" eb="42">
      <t>チュウ</t>
    </rPh>
    <rPh sb="47" eb="49">
      <t>ネンド</t>
    </rPh>
    <rPh sb="56" eb="58">
      <t>ネンド</t>
    </rPh>
    <rPh sb="59" eb="61">
      <t>スウチ</t>
    </rPh>
    <rPh sb="66" eb="68">
      <t>イチブ</t>
    </rPh>
    <rPh sb="68" eb="69">
      <t>アヤマ</t>
    </rPh>
    <rPh sb="80" eb="82">
      <t>スウチ</t>
    </rPh>
    <rPh sb="83" eb="85">
      <t>テイセイ</t>
    </rPh>
    <rPh sb="86" eb="88">
      <t>コウシン</t>
    </rPh>
    <phoneticPr fontId="6"/>
  </si>
  <si>
    <r>
      <rPr>
        <sz val="10"/>
        <color theme="1"/>
        <rFont val="源真ゴシックP Normal"/>
        <family val="3"/>
        <charset val="128"/>
      </rPr>
      <t xml:space="preserve">取得者（日数） </t>
    </r>
    <r>
      <rPr>
        <sz val="10"/>
        <color theme="1"/>
        <rFont val="Mazda Type"/>
      </rPr>
      <t>Number of beneficiaries (days taken)</t>
    </r>
    <phoneticPr fontId="1"/>
  </si>
  <si>
    <r>
      <t>696</t>
    </r>
    <r>
      <rPr>
        <sz val="10"/>
        <color theme="1"/>
        <rFont val="源真ゴシックP Normal"/>
        <family val="3"/>
        <charset val="128"/>
      </rPr>
      <t>（3</t>
    </r>
    <r>
      <rPr>
        <sz val="10"/>
        <color theme="1"/>
        <rFont val="Mazda Type"/>
      </rPr>
      <t>,019</t>
    </r>
    <r>
      <rPr>
        <sz val="10"/>
        <color theme="1"/>
        <rFont val="源真ゴシックP Normal"/>
        <family val="3"/>
        <charset val="128"/>
      </rPr>
      <t>）</t>
    </r>
    <phoneticPr fontId="14"/>
  </si>
  <si>
    <r>
      <rPr>
        <sz val="10"/>
        <color theme="1"/>
        <rFont val="源真ゴシックP Normal"/>
        <family val="3"/>
        <charset val="128"/>
      </rPr>
      <t xml:space="preserve">うち親族の看護による取得者 </t>
    </r>
    <r>
      <rPr>
        <sz val="10"/>
        <color theme="1"/>
        <rFont val="Mazda Type"/>
      </rPr>
      <t>Number of beneficiaries for nursing care for relatives</t>
    </r>
    <phoneticPr fontId="6"/>
  </si>
  <si>
    <r>
      <t>509</t>
    </r>
    <r>
      <rPr>
        <sz val="10"/>
        <color theme="1"/>
        <rFont val="源真ゴシックP Normal"/>
        <family val="3"/>
        <charset val="128"/>
      </rPr>
      <t>（1</t>
    </r>
    <r>
      <rPr>
        <sz val="10"/>
        <color theme="1"/>
        <rFont val="Mazda Type"/>
      </rPr>
      <t>,911</t>
    </r>
    <r>
      <rPr>
        <sz val="10"/>
        <color theme="1"/>
        <rFont val="源真ゴシックP Normal"/>
        <family val="3"/>
        <charset val="128"/>
      </rPr>
      <t>）</t>
    </r>
    <phoneticPr fontId="14"/>
  </si>
  <si>
    <r>
      <t>299</t>
    </r>
    <r>
      <rPr>
        <sz val="10"/>
        <color theme="1"/>
        <rFont val="源真ゴシックP Normal"/>
        <family val="3"/>
        <charset val="128"/>
      </rPr>
      <t>（</t>
    </r>
    <r>
      <rPr>
        <sz val="10"/>
        <color theme="1"/>
        <rFont val="Mazda Type"/>
      </rPr>
      <t>1,165</t>
    </r>
    <r>
      <rPr>
        <sz val="10"/>
        <color theme="1"/>
        <rFont val="源真ゴシックP Normal"/>
        <family val="3"/>
        <charset val="128"/>
      </rPr>
      <t>）</t>
    </r>
    <phoneticPr fontId="14"/>
  </si>
  <si>
    <r>
      <t>210</t>
    </r>
    <r>
      <rPr>
        <sz val="10"/>
        <color theme="1"/>
        <rFont val="源真ゴシックP Normal"/>
        <family val="3"/>
        <charset val="128"/>
      </rPr>
      <t>（746）</t>
    </r>
    <phoneticPr fontId="14"/>
  </si>
  <si>
    <r>
      <rPr>
        <sz val="10"/>
        <color theme="1"/>
        <rFont val="源真ゴシックP Normal"/>
        <family val="3"/>
        <charset val="128"/>
      </rPr>
      <t xml:space="preserve">社内保育施設「わくわくキッズ園」 </t>
    </r>
    <r>
      <rPr>
        <sz val="10"/>
        <color theme="1"/>
        <rFont val="Mazda Type"/>
      </rPr>
      <t>Onsite daycare: Mazda Waku Waku Kids En</t>
    </r>
    <phoneticPr fontId="1"/>
  </si>
  <si>
    <r>
      <rPr>
        <sz val="10"/>
        <color theme="1"/>
        <rFont val="源真ゴシックP Normal"/>
        <family val="3"/>
        <charset val="128"/>
      </rPr>
      <t xml:space="preserve">園児 </t>
    </r>
    <r>
      <rPr>
        <sz val="10"/>
        <color theme="1"/>
        <rFont val="Mazda Type"/>
      </rPr>
      <t>Preschoolers</t>
    </r>
    <phoneticPr fontId="1"/>
  </si>
  <si>
    <r>
      <rPr>
        <sz val="10"/>
        <color theme="1"/>
        <rFont val="源真ゴシックP Normal"/>
        <family val="3"/>
        <charset val="128"/>
      </rPr>
      <t xml:space="preserve">キャリア開発休職 </t>
    </r>
    <r>
      <rPr>
        <sz val="10"/>
        <color theme="1"/>
        <rFont val="Mazda Type"/>
      </rPr>
      <t>Challenging Career leave</t>
    </r>
    <phoneticPr fontId="1"/>
  </si>
  <si>
    <r>
      <rPr>
        <sz val="10"/>
        <color theme="1"/>
        <rFont val="源真ゴシックP Normal"/>
        <family val="3"/>
        <charset val="128"/>
      </rPr>
      <t xml:space="preserve">取得者 </t>
    </r>
    <r>
      <rPr>
        <sz val="10"/>
        <color theme="1"/>
        <rFont val="Mazda Type"/>
      </rPr>
      <t>Number of beneficiaries</t>
    </r>
    <phoneticPr fontId="1"/>
  </si>
  <si>
    <r>
      <rPr>
        <sz val="10"/>
        <color theme="1"/>
        <rFont val="源真ゴシックP Normal"/>
        <family val="3"/>
        <charset val="128"/>
      </rPr>
      <t xml:space="preserve">赴任同行休職
</t>
    </r>
    <r>
      <rPr>
        <sz val="10"/>
        <color theme="1"/>
        <rFont val="Mazda Type"/>
      </rPr>
      <t>Leave for employees accompanying a transferred family member</t>
    </r>
    <phoneticPr fontId="1"/>
  </si>
  <si>
    <r>
      <rPr>
        <sz val="10"/>
        <color theme="1"/>
        <rFont val="源真ゴシックP Normal"/>
        <family val="3"/>
        <charset val="128"/>
      </rPr>
      <t xml:space="preserve">再雇用制度 </t>
    </r>
    <r>
      <rPr>
        <sz val="10"/>
        <color theme="1"/>
        <rFont val="Mazda Type"/>
      </rPr>
      <t>Re-employment Systems</t>
    </r>
    <phoneticPr fontId="1"/>
  </si>
  <si>
    <r>
      <rPr>
        <sz val="10"/>
        <color theme="1"/>
        <rFont val="源真ゴシックP Normal"/>
        <family val="3"/>
        <charset val="128"/>
      </rPr>
      <t xml:space="preserve">登録者数 </t>
    </r>
    <r>
      <rPr>
        <sz val="10"/>
        <color theme="1"/>
        <rFont val="Mazda Type"/>
      </rPr>
      <t>Number of rehires</t>
    </r>
    <phoneticPr fontId="6"/>
  </si>
  <si>
    <r>
      <rPr>
        <sz val="10"/>
        <color theme="1"/>
        <rFont val="源真ゴシックP Normal"/>
        <family val="3"/>
        <charset val="128"/>
      </rPr>
      <t xml:space="preserve">エキスパートファミリー制度 </t>
    </r>
    <r>
      <rPr>
        <sz val="10"/>
        <color theme="1"/>
        <rFont val="Mazda Type"/>
      </rPr>
      <t>Expert Family System</t>
    </r>
    <phoneticPr fontId="1"/>
  </si>
  <si>
    <r>
      <rPr>
        <sz val="10"/>
        <color theme="1"/>
        <rFont val="源真ゴシックP Normal"/>
        <family val="3"/>
        <charset val="128"/>
      </rPr>
      <t xml:space="preserve">再雇用者 </t>
    </r>
    <r>
      <rPr>
        <sz val="10"/>
        <color theme="1"/>
        <rFont val="Mazda Type"/>
      </rPr>
      <t>Number of hires through reemployment</t>
    </r>
    <phoneticPr fontId="6"/>
  </si>
  <si>
    <r>
      <t>JICA</t>
    </r>
    <r>
      <rPr>
        <sz val="10"/>
        <color theme="1"/>
        <rFont val="源真ゴシックP Normal"/>
        <family val="3"/>
        <charset val="128"/>
      </rPr>
      <t xml:space="preserve">派遣休職 </t>
    </r>
    <r>
      <rPr>
        <sz val="10"/>
        <color theme="1"/>
        <rFont val="Mazda Type"/>
      </rPr>
      <t>Paid Leave for JICA Activities</t>
    </r>
    <phoneticPr fontId="1"/>
  </si>
  <si>
    <r>
      <rPr>
        <sz val="10"/>
        <color theme="1"/>
        <rFont val="源真ゴシックP Normal"/>
        <family val="3"/>
        <charset val="128"/>
      </rPr>
      <t>社員の環境保全活動、社会貢献活動を支援する福利厚生プログラム（マツダ・フレックスベネフィット</t>
    </r>
    <r>
      <rPr>
        <sz val="10"/>
        <color theme="1"/>
        <rFont val="Mazda Type"/>
      </rPr>
      <t>*3</t>
    </r>
    <r>
      <rPr>
        <sz val="10"/>
        <color theme="1"/>
        <rFont val="源真ゴシックP Normal"/>
        <family val="3"/>
        <charset val="128"/>
      </rPr>
      <t xml:space="preserve">）
</t>
    </r>
    <r>
      <rPr>
        <sz val="10"/>
        <color theme="1"/>
        <rFont val="Mazda Type"/>
      </rPr>
      <t>Benefit program to support employees’ environmental protection and social contribution activities</t>
    </r>
    <r>
      <rPr>
        <sz val="10"/>
        <color theme="1"/>
        <rFont val="ＭＳ Ｐゴシック"/>
        <family val="3"/>
        <charset val="128"/>
      </rPr>
      <t>　</t>
    </r>
    <r>
      <rPr>
        <sz val="10"/>
        <color theme="1"/>
        <rFont val="Mazda Type"/>
        <family val="3"/>
      </rPr>
      <t>*3</t>
    </r>
    <phoneticPr fontId="6"/>
  </si>
  <si>
    <r>
      <rPr>
        <sz val="10"/>
        <color theme="1"/>
        <rFont val="源真ゴシックP Normal"/>
        <family val="3"/>
        <charset val="128"/>
      </rPr>
      <t xml:space="preserve">申請件数 </t>
    </r>
    <r>
      <rPr>
        <sz val="10"/>
        <color theme="1"/>
        <rFont val="Mazda Type"/>
      </rPr>
      <t>Number of applications</t>
    </r>
    <phoneticPr fontId="6"/>
  </si>
  <si>
    <r>
      <rPr>
        <sz val="10"/>
        <color theme="1"/>
        <rFont val="源真ゴシックP Normal"/>
        <family val="3"/>
        <charset val="128"/>
      </rPr>
      <t xml:space="preserve">件 </t>
    </r>
    <r>
      <rPr>
        <sz val="10"/>
        <color theme="1"/>
        <rFont val="Mazda Type"/>
      </rPr>
      <t>Cases</t>
    </r>
    <rPh sb="0" eb="1">
      <t>ケン</t>
    </rPh>
    <phoneticPr fontId="1"/>
  </si>
  <si>
    <r>
      <rPr>
        <sz val="10"/>
        <color theme="1"/>
        <rFont val="源真ゴシックP Normal"/>
        <family val="3"/>
        <charset val="128"/>
      </rPr>
      <t xml:space="preserve">申請額 </t>
    </r>
    <r>
      <rPr>
        <sz val="10"/>
        <color theme="1"/>
        <rFont val="Mazda Type"/>
      </rPr>
      <t>Amount applied</t>
    </r>
    <phoneticPr fontId="1"/>
  </si>
  <si>
    <r>
      <rPr>
        <sz val="10"/>
        <color theme="1"/>
        <rFont val="源真ゴシックP Normal"/>
        <family val="3"/>
        <charset val="128"/>
      </rPr>
      <t xml:space="preserve">円 </t>
    </r>
    <r>
      <rPr>
        <sz val="10"/>
        <color theme="1"/>
        <rFont val="Mazda Type"/>
      </rPr>
      <t>Yen</t>
    </r>
    <rPh sb="0" eb="1">
      <t>エン</t>
    </rPh>
    <phoneticPr fontId="1"/>
  </si>
  <si>
    <r>
      <rPr>
        <sz val="10"/>
        <color theme="1"/>
        <rFont val="源真ゴシックP Normal"/>
        <family val="3"/>
        <charset val="128"/>
      </rPr>
      <t xml:space="preserve">年次有給休暇 </t>
    </r>
    <r>
      <rPr>
        <sz val="10"/>
        <color theme="1"/>
        <rFont val="Mazda Type"/>
      </rPr>
      <t>Paid leave</t>
    </r>
    <phoneticPr fontId="6"/>
  </si>
  <si>
    <r>
      <rPr>
        <sz val="10"/>
        <color theme="1"/>
        <rFont val="源真ゴシックP Normal"/>
        <family val="3"/>
        <charset val="128"/>
      </rPr>
      <t xml:space="preserve">取得率 </t>
    </r>
    <r>
      <rPr>
        <sz val="10"/>
        <color theme="1"/>
        <rFont val="Mazda Type"/>
      </rPr>
      <t>Rate of acquisition</t>
    </r>
    <phoneticPr fontId="1"/>
  </si>
  <si>
    <r>
      <rPr>
        <sz val="10"/>
        <color theme="1"/>
        <rFont val="源真ゴシックP Normal"/>
        <family val="3"/>
        <charset val="128"/>
      </rPr>
      <t xml:space="preserve">平均取得日数 </t>
    </r>
    <r>
      <rPr>
        <sz val="10"/>
        <color theme="1"/>
        <rFont val="Mazda Type"/>
      </rPr>
      <t>Average of vacation days taken</t>
    </r>
    <phoneticPr fontId="1"/>
  </si>
  <si>
    <r>
      <rPr>
        <sz val="10"/>
        <color theme="1"/>
        <rFont val="源真ゴシックP Normal"/>
        <family val="3"/>
        <charset val="128"/>
      </rPr>
      <t xml:space="preserve">日 </t>
    </r>
    <r>
      <rPr>
        <sz val="10"/>
        <color theme="1"/>
        <rFont val="Mazda Type"/>
      </rPr>
      <t>Days</t>
    </r>
    <rPh sb="0" eb="1">
      <t>ニチ</t>
    </rPh>
    <phoneticPr fontId="1"/>
  </si>
  <si>
    <r>
      <rPr>
        <sz val="10"/>
        <color theme="1"/>
        <rFont val="源真ゴシックP Normal"/>
        <family val="3"/>
        <charset val="128"/>
      </rPr>
      <t xml:space="preserve">*1 各施策の概要はマツダサステナビリティサイトを参照：  </t>
    </r>
    <r>
      <rPr>
        <sz val="10"/>
        <color theme="1"/>
        <rFont val="Mazda Type"/>
        <family val="3"/>
      </rPr>
      <t>https://www.mazda.com/ja/sustainability/</t>
    </r>
    <r>
      <rPr>
        <sz val="10"/>
        <color theme="1"/>
        <rFont val="源真ゴシックP Normal"/>
        <family val="3"/>
        <charset val="128"/>
      </rPr>
      <t xml:space="preserve">
</t>
    </r>
    <r>
      <rPr>
        <sz val="10"/>
        <color theme="1"/>
        <rFont val="Mazda Type"/>
      </rPr>
      <t>*1 For more details, please refer to MAZDA Sustainability:  https://www.mazda.com/en/sustainability/</t>
    </r>
    <rPh sb="25" eb="27">
      <t>サンショウ</t>
    </rPh>
    <phoneticPr fontId="1"/>
  </si>
  <si>
    <r>
      <t xml:space="preserve">*2 </t>
    </r>
    <r>
      <rPr>
        <sz val="10"/>
        <color theme="1"/>
        <rFont val="源真ゴシックP Normal"/>
        <family val="3"/>
        <charset val="128"/>
      </rPr>
      <t xml:space="preserve">当該年度に休職を開始した人数
</t>
    </r>
    <r>
      <rPr>
        <sz val="10"/>
        <color theme="1"/>
        <rFont val="Mazda Type"/>
      </rPr>
      <t>*2 Number of employees whose leave started in the relevant fiscal year.</t>
    </r>
    <phoneticPr fontId="1"/>
  </si>
  <si>
    <r>
      <t xml:space="preserve">*3 </t>
    </r>
    <r>
      <rPr>
        <sz val="10"/>
        <color theme="1"/>
        <rFont val="源真ゴシックP Normal"/>
        <family val="3"/>
        <charset val="128"/>
      </rPr>
      <t xml:space="preserve">選択型の福利厚生制度。あらかじめ定められたポイントの範囲内で社員個人が選んだ福利厚生メニューの補助が受けられる仕組み
</t>
    </r>
    <r>
      <rPr>
        <sz val="10"/>
        <color theme="1"/>
        <rFont val="Mazda Type"/>
      </rPr>
      <t>*3 This is a selective benefit system. Individual employees can seek the type of assistance that most suits them by choosing from a number of preset benefit options within the points they have.</t>
    </r>
    <phoneticPr fontId="1"/>
  </si>
  <si>
    <r>
      <rPr>
        <b/>
        <sz val="12"/>
        <color theme="1"/>
        <rFont val="源真ゴシックP Normal"/>
        <family val="3"/>
        <charset val="128"/>
      </rPr>
      <t>教育研修実績</t>
    </r>
    <r>
      <rPr>
        <b/>
        <sz val="12"/>
        <color theme="1"/>
        <rFont val="Mazda Type"/>
      </rPr>
      <t>*1</t>
    </r>
    <r>
      <rPr>
        <b/>
        <sz val="12"/>
        <color theme="1"/>
        <rFont val="ＭＳ Ｐゴシック"/>
        <family val="3"/>
        <charset val="128"/>
      </rPr>
      <t>：</t>
    </r>
    <r>
      <rPr>
        <b/>
        <sz val="12"/>
        <color theme="1"/>
        <rFont val="源真ゴシックP Normal"/>
        <family val="3"/>
        <charset val="128"/>
      </rPr>
      <t xml:space="preserve">単体 </t>
    </r>
    <r>
      <rPr>
        <b/>
        <sz val="12"/>
        <color theme="1"/>
        <rFont val="Mazda Type"/>
      </rPr>
      <t>Education/Training Results: Non-consolidated</t>
    </r>
    <rPh sb="0" eb="2">
      <t>キョウイク</t>
    </rPh>
    <phoneticPr fontId="1"/>
  </si>
  <si>
    <r>
      <t>1</t>
    </r>
    <r>
      <rPr>
        <sz val="10"/>
        <color theme="1"/>
        <rFont val="源真ゴシックP Normal"/>
        <family val="3"/>
        <charset val="128"/>
      </rPr>
      <t xml:space="preserve">人当たりの平均研修時間 </t>
    </r>
    <r>
      <rPr>
        <sz val="10"/>
        <color theme="1"/>
        <rFont val="Mazda Type"/>
      </rPr>
      <t>Average hours of training per employee</t>
    </r>
    <phoneticPr fontId="6"/>
  </si>
  <si>
    <r>
      <rPr>
        <sz val="10"/>
        <color theme="1"/>
        <rFont val="源真ゴシックP Normal"/>
        <family val="3"/>
        <charset val="128"/>
      </rPr>
      <t>時間</t>
    </r>
    <r>
      <rPr>
        <sz val="10"/>
        <color theme="1"/>
        <rFont val="Mazda Type"/>
      </rPr>
      <t>/</t>
    </r>
    <r>
      <rPr>
        <sz val="10"/>
        <color theme="1"/>
        <rFont val="源真ゴシックP Normal"/>
        <family val="3"/>
        <charset val="128"/>
      </rPr>
      <t xml:space="preserve">年 </t>
    </r>
    <r>
      <rPr>
        <sz val="10"/>
        <color theme="1"/>
        <rFont val="Mazda Type"/>
      </rPr>
      <t>Hours/Year</t>
    </r>
    <phoneticPr fontId="6"/>
  </si>
  <si>
    <r>
      <t>1</t>
    </r>
    <r>
      <rPr>
        <sz val="10"/>
        <color theme="1"/>
        <rFont val="源真ゴシックP Normal"/>
        <family val="3"/>
        <charset val="128"/>
      </rPr>
      <t xml:space="preserve">人当たりの平均研修費 </t>
    </r>
    <r>
      <rPr>
        <sz val="10"/>
        <color theme="1"/>
        <rFont val="Mazda Type"/>
      </rPr>
      <t>Average training cost per employee</t>
    </r>
    <phoneticPr fontId="6"/>
  </si>
  <si>
    <r>
      <rPr>
        <sz val="10"/>
        <color theme="1"/>
        <rFont val="源真ゴシックP Normal"/>
        <family val="3"/>
        <charset val="128"/>
      </rPr>
      <t>円</t>
    </r>
    <r>
      <rPr>
        <sz val="10"/>
        <color theme="1"/>
        <rFont val="Mazda Type"/>
      </rPr>
      <t>/</t>
    </r>
    <r>
      <rPr>
        <sz val="10"/>
        <color theme="1"/>
        <rFont val="源真ゴシックP Normal"/>
        <family val="3"/>
        <charset val="128"/>
      </rPr>
      <t xml:space="preserve">年 </t>
    </r>
    <r>
      <rPr>
        <sz val="10"/>
        <color theme="1"/>
        <rFont val="Mazda Type"/>
      </rPr>
      <t>Yen/Year</t>
    </r>
    <phoneticPr fontId="6"/>
  </si>
  <si>
    <r>
      <rPr>
        <sz val="10"/>
        <color theme="1"/>
        <rFont val="源真ゴシックP Normal"/>
        <family val="3"/>
        <charset val="128"/>
      </rPr>
      <t>研修を受けた社員数（延べ人数）</t>
    </r>
    <r>
      <rPr>
        <sz val="10"/>
        <color theme="1"/>
        <rFont val="Mazda Type"/>
        <family val="3"/>
      </rPr>
      <t>*1</t>
    </r>
    <r>
      <rPr>
        <sz val="10"/>
        <color theme="1"/>
        <rFont val="ＭＳ Ｐゴシック"/>
        <family val="3"/>
        <charset val="128"/>
      </rPr>
      <t>　</t>
    </r>
    <r>
      <rPr>
        <sz val="10"/>
        <color theme="1"/>
        <rFont val="源真ゴシックP Normal"/>
        <family val="3"/>
        <charset val="128"/>
      </rPr>
      <t xml:space="preserve"> </t>
    </r>
    <r>
      <rPr>
        <sz val="10"/>
        <color theme="1"/>
        <rFont val="Mazda Type"/>
      </rPr>
      <t>Number of employees that received training</t>
    </r>
    <r>
      <rPr>
        <sz val="10"/>
        <color theme="1"/>
        <rFont val="ＭＳ Ｐゴシック"/>
        <family val="3"/>
        <charset val="128"/>
      </rPr>
      <t>　</t>
    </r>
    <r>
      <rPr>
        <sz val="10"/>
        <color theme="1"/>
        <rFont val="Mazda Type"/>
        <family val="3"/>
      </rPr>
      <t>*1</t>
    </r>
    <phoneticPr fontId="6"/>
  </si>
  <si>
    <r>
      <rPr>
        <sz val="10"/>
        <color theme="1"/>
        <rFont val="源真ゴシックP Normal"/>
        <family val="3"/>
        <charset val="128"/>
      </rPr>
      <t>人</t>
    </r>
    <r>
      <rPr>
        <sz val="10"/>
        <color theme="1"/>
        <rFont val="Mazda Type"/>
      </rPr>
      <t>/</t>
    </r>
    <r>
      <rPr>
        <sz val="10"/>
        <color theme="1"/>
        <rFont val="源真ゴシックP Normal"/>
        <family val="3"/>
        <charset val="128"/>
      </rPr>
      <t xml:space="preserve">年 </t>
    </r>
    <r>
      <rPr>
        <sz val="10"/>
        <color theme="1"/>
        <rFont val="Mazda Type"/>
      </rPr>
      <t>persons/Year</t>
    </r>
    <rPh sb="0" eb="1">
      <t>ニン</t>
    </rPh>
    <phoneticPr fontId="6"/>
  </si>
  <si>
    <r>
      <rPr>
        <sz val="10"/>
        <color theme="1"/>
        <rFont val="Mazda Type"/>
        <family val="3"/>
      </rPr>
      <t>*1</t>
    </r>
    <r>
      <rPr>
        <sz val="10"/>
        <color theme="1"/>
        <rFont val="ＭＳ Ｐゴシック"/>
        <family val="3"/>
        <charset val="128"/>
      </rPr>
      <t>　</t>
    </r>
    <r>
      <rPr>
        <sz val="10"/>
        <color theme="1"/>
        <rFont val="源真ゴシックP Normal"/>
        <family val="3"/>
        <charset val="128"/>
      </rPr>
      <t>人事本部が行う全社研修のみ</t>
    </r>
    <r>
      <rPr>
        <sz val="10"/>
        <color theme="1"/>
        <rFont val="Mazda Type"/>
        <family val="3"/>
        <charset val="128"/>
      </rPr>
      <t xml:space="preserve">
</t>
    </r>
    <r>
      <rPr>
        <sz val="10"/>
        <color theme="1"/>
        <rFont val="Mazda Type"/>
        <family val="3"/>
      </rPr>
      <t>*1</t>
    </r>
    <r>
      <rPr>
        <sz val="10"/>
        <color theme="1"/>
        <rFont val="ＭＳ Ｐゴシック"/>
        <family val="3"/>
        <charset val="128"/>
      </rPr>
      <t>　</t>
    </r>
    <r>
      <rPr>
        <sz val="10"/>
        <color theme="1"/>
        <rFont val="Mazda Type"/>
        <family val="3"/>
      </rPr>
      <t>Only Companywide training conducted by the Human Resources Division.</t>
    </r>
    <rPh sb="3" eb="7">
      <t>ジンジホンブ</t>
    </rPh>
    <rPh sb="8" eb="9">
      <t>オコナ</t>
    </rPh>
    <rPh sb="10" eb="12">
      <t>ゼンシャ</t>
    </rPh>
    <rPh sb="12" eb="14">
      <t>ケンシュウ</t>
    </rPh>
    <phoneticPr fontId="1"/>
  </si>
  <si>
    <r>
      <rPr>
        <sz val="10"/>
        <color theme="1"/>
        <rFont val="源真ゴシックP Normal"/>
        <family val="3"/>
        <charset val="128"/>
      </rPr>
      <t xml:space="preserve">主な教育・研修制度の詳細は、マツダサステナビリティサイトを参照：  </t>
    </r>
    <r>
      <rPr>
        <sz val="10"/>
        <color theme="1"/>
        <rFont val="Mazda Type"/>
        <family val="3"/>
      </rPr>
      <t>https://www.mazda.com/ja/sustainability/</t>
    </r>
    <r>
      <rPr>
        <sz val="10"/>
        <color theme="1"/>
        <rFont val="Mazda Type"/>
      </rPr>
      <t xml:space="preserve">
For more details of education and training program, please refer to Sustainability Website:  </t>
    </r>
    <r>
      <rPr>
        <sz val="10"/>
        <color theme="1"/>
        <rFont val="Mazda Type"/>
        <family val="3"/>
        <charset val="128"/>
      </rPr>
      <t>https://www.mazda.com/ja/sustainability/</t>
    </r>
    <phoneticPr fontId="1"/>
  </si>
  <si>
    <r>
      <t xml:space="preserve">災害発生状況 </t>
    </r>
    <r>
      <rPr>
        <b/>
        <sz val="12"/>
        <color theme="1"/>
        <rFont val="Mazda Type"/>
      </rPr>
      <t>Disaster Occurrence</t>
    </r>
    <rPh sb="0" eb="2">
      <t>サイガイ</t>
    </rPh>
    <rPh sb="2" eb="4">
      <t>ハッセイ</t>
    </rPh>
    <rPh sb="4" eb="6">
      <t>ジョウキョウ</t>
    </rPh>
    <phoneticPr fontId="1"/>
  </si>
  <si>
    <r>
      <t>2019</t>
    </r>
    <r>
      <rPr>
        <sz val="10"/>
        <color theme="1"/>
        <rFont val="源真ゴシックP Normal"/>
        <family val="3"/>
        <charset val="128"/>
      </rPr>
      <t xml:space="preserve">年度
</t>
    </r>
    <r>
      <rPr>
        <sz val="10"/>
        <color theme="1"/>
        <rFont val="Mazda Type"/>
      </rPr>
      <t>FY March 2020</t>
    </r>
    <phoneticPr fontId="1"/>
  </si>
  <si>
    <r>
      <t>2020</t>
    </r>
    <r>
      <rPr>
        <sz val="10"/>
        <color theme="1"/>
        <rFont val="源真ゴシックP Normal"/>
        <family val="3"/>
        <charset val="128"/>
      </rPr>
      <t>年度</t>
    </r>
    <r>
      <rPr>
        <sz val="10"/>
        <color theme="1"/>
        <rFont val="Mazda Type"/>
      </rPr>
      <t xml:space="preserve">
FY March 2021</t>
    </r>
    <rPh sb="4" eb="6">
      <t>ネンド</t>
    </rPh>
    <phoneticPr fontId="1"/>
  </si>
  <si>
    <r>
      <rPr>
        <sz val="10"/>
        <color theme="1"/>
        <rFont val="源真ゴシックP Normal"/>
        <family val="3"/>
        <charset val="128"/>
      </rPr>
      <t>グローバル休業災害度数率</t>
    </r>
    <r>
      <rPr>
        <sz val="10"/>
        <color theme="1"/>
        <rFont val="Mazda Type"/>
      </rPr>
      <t>*</t>
    </r>
    <r>
      <rPr>
        <vertAlign val="superscript"/>
        <sz val="10"/>
        <color theme="1"/>
        <rFont val="Mazda Type"/>
      </rPr>
      <t xml:space="preserve">1 </t>
    </r>
    <r>
      <rPr>
        <sz val="10"/>
        <color theme="1"/>
        <rFont val="Mazda Type"/>
      </rPr>
      <t xml:space="preserve">: </t>
    </r>
    <r>
      <rPr>
        <sz val="10"/>
        <color theme="1"/>
        <rFont val="源真ゴシックP Normal"/>
        <family val="3"/>
        <charset val="128"/>
      </rPr>
      <t xml:space="preserve">連結 </t>
    </r>
    <r>
      <rPr>
        <sz val="10"/>
        <color theme="1"/>
        <rFont val="Mazda Type"/>
      </rPr>
      <t>Global Lost-Time Injury Frequency Rate*</t>
    </r>
    <r>
      <rPr>
        <vertAlign val="superscript"/>
        <sz val="10"/>
        <color theme="1"/>
        <rFont val="Mazda Type"/>
      </rPr>
      <t xml:space="preserve">1 </t>
    </r>
    <r>
      <rPr>
        <sz val="10"/>
        <color theme="1"/>
        <rFont val="Mazda Type"/>
      </rPr>
      <t>: Consolidated</t>
    </r>
    <phoneticPr fontId="1"/>
  </si>
  <si>
    <r>
      <rPr>
        <sz val="10"/>
        <color theme="1"/>
        <rFont val="源真ゴシックP Normal"/>
        <family val="3"/>
        <charset val="128"/>
      </rPr>
      <t>全災害度数率</t>
    </r>
    <r>
      <rPr>
        <vertAlign val="superscript"/>
        <sz val="10"/>
        <color theme="1"/>
        <rFont val="Mazda Type"/>
      </rPr>
      <t xml:space="preserve">*2 </t>
    </r>
    <r>
      <rPr>
        <sz val="10"/>
        <color theme="1"/>
        <rFont val="Mazda Type"/>
      </rPr>
      <t xml:space="preserve">: </t>
    </r>
    <r>
      <rPr>
        <sz val="10"/>
        <color theme="1"/>
        <rFont val="源真ゴシックP Normal"/>
        <family val="3"/>
        <charset val="128"/>
      </rPr>
      <t xml:space="preserve">単体 </t>
    </r>
    <r>
      <rPr>
        <sz val="10"/>
        <color theme="1"/>
        <rFont val="Mazda Type"/>
      </rPr>
      <t>Total injury frequency rate</t>
    </r>
    <r>
      <rPr>
        <vertAlign val="superscript"/>
        <sz val="10"/>
        <color theme="1"/>
        <rFont val="Mazda Type"/>
      </rPr>
      <t xml:space="preserve">*2 </t>
    </r>
    <r>
      <rPr>
        <sz val="10"/>
        <color theme="1"/>
        <rFont val="Mazda Type"/>
        <family val="3"/>
        <charset val="128"/>
      </rPr>
      <t>: Non-consolidated</t>
    </r>
    <phoneticPr fontId="1"/>
  </si>
  <si>
    <r>
      <t>0.34</t>
    </r>
    <r>
      <rPr>
        <sz val="10"/>
        <color theme="1"/>
        <rFont val="Segoe UI Symbol"/>
        <family val="2"/>
      </rPr>
      <t>✔</t>
    </r>
    <phoneticPr fontId="1"/>
  </si>
  <si>
    <r>
      <rPr>
        <sz val="10"/>
        <color theme="1"/>
        <rFont val="源真ゴシックP Normal"/>
        <family val="3"/>
        <charset val="128"/>
      </rPr>
      <t>休業災害度数率</t>
    </r>
    <r>
      <rPr>
        <vertAlign val="superscript"/>
        <sz val="10"/>
        <color theme="1"/>
        <rFont val="Mazda Type"/>
      </rPr>
      <t xml:space="preserve">*3 </t>
    </r>
    <r>
      <rPr>
        <sz val="10"/>
        <color theme="1"/>
        <rFont val="Mazda Type"/>
      </rPr>
      <t xml:space="preserve">: </t>
    </r>
    <r>
      <rPr>
        <sz val="10"/>
        <color theme="1"/>
        <rFont val="源真ゴシックP Normal"/>
        <family val="3"/>
        <charset val="128"/>
      </rPr>
      <t xml:space="preserve">単体 </t>
    </r>
    <r>
      <rPr>
        <sz val="10"/>
        <color theme="1"/>
        <rFont val="Mazda Type"/>
      </rPr>
      <t>Lost-time injury frequency rate</t>
    </r>
    <r>
      <rPr>
        <vertAlign val="superscript"/>
        <sz val="10"/>
        <color theme="1"/>
        <rFont val="Mazda Type"/>
      </rPr>
      <t xml:space="preserve">*3 </t>
    </r>
    <r>
      <rPr>
        <sz val="10"/>
        <color theme="1"/>
        <rFont val="Mazda Type"/>
        <family val="3"/>
        <charset val="128"/>
      </rPr>
      <t>: Non-consolidated</t>
    </r>
    <phoneticPr fontId="1"/>
  </si>
  <si>
    <r>
      <t>0.04</t>
    </r>
    <r>
      <rPr>
        <sz val="10"/>
        <color theme="1"/>
        <rFont val="Segoe UI Symbol"/>
        <family val="2"/>
      </rPr>
      <t>✔</t>
    </r>
    <phoneticPr fontId="1"/>
  </si>
  <si>
    <r>
      <rPr>
        <sz val="10"/>
        <color theme="1"/>
        <rFont val="源真ゴシックP Normal"/>
        <family val="3"/>
        <charset val="128"/>
      </rPr>
      <t>労働災害強度率</t>
    </r>
    <r>
      <rPr>
        <sz val="10"/>
        <color theme="1"/>
        <rFont val="Mazda Type"/>
      </rPr>
      <t>*</t>
    </r>
    <r>
      <rPr>
        <vertAlign val="superscript"/>
        <sz val="10"/>
        <color theme="1"/>
        <rFont val="Mazda Type"/>
      </rPr>
      <t>4</t>
    </r>
    <r>
      <rPr>
        <sz val="10"/>
        <color theme="1"/>
        <rFont val="Mazda Type"/>
      </rPr>
      <t xml:space="preserve"> : </t>
    </r>
    <r>
      <rPr>
        <sz val="10"/>
        <color theme="1"/>
        <rFont val="源真ゴシックP Normal"/>
        <family val="3"/>
        <charset val="128"/>
      </rPr>
      <t xml:space="preserve">単体 </t>
    </r>
    <r>
      <rPr>
        <sz val="10"/>
        <color theme="1"/>
        <rFont val="Mazda Type"/>
      </rPr>
      <t>Work-related accident intensity rate*</t>
    </r>
    <r>
      <rPr>
        <vertAlign val="superscript"/>
        <sz val="10"/>
        <color theme="1"/>
        <rFont val="Mazda Type"/>
      </rPr>
      <t xml:space="preserve">4 </t>
    </r>
    <r>
      <rPr>
        <sz val="10"/>
        <color theme="1"/>
        <rFont val="Mazda Type"/>
      </rPr>
      <t>: Non-consolidated</t>
    </r>
    <phoneticPr fontId="1"/>
  </si>
  <si>
    <r>
      <t xml:space="preserve">*4 </t>
    </r>
    <r>
      <rPr>
        <sz val="10"/>
        <color theme="1"/>
        <rFont val="源真ゴシックP Normal"/>
        <family val="3"/>
        <charset val="128"/>
      </rPr>
      <t>マツダ（株）の延べ</t>
    </r>
    <r>
      <rPr>
        <sz val="10"/>
        <color theme="1"/>
        <rFont val="Mazda Type"/>
      </rPr>
      <t>1,000</t>
    </r>
    <r>
      <rPr>
        <sz val="10"/>
        <color theme="1"/>
        <rFont val="源真ゴシックP Normal"/>
        <family val="3"/>
        <charset val="128"/>
      </rPr>
      <t xml:space="preserve">労働時間当たりの労働損失日数
</t>
    </r>
    <r>
      <rPr>
        <sz val="10"/>
        <color theme="1"/>
        <rFont val="Mazda Type"/>
      </rPr>
      <t>*4 Number of work days lost per 1,000 working hours at Mazda Motor Corporation.</t>
    </r>
    <phoneticPr fontId="1"/>
  </si>
  <si>
    <r>
      <rPr>
        <b/>
        <sz val="12"/>
        <color theme="1"/>
        <rFont val="源真ゴシックP Normal"/>
        <family val="3"/>
        <charset val="128"/>
      </rPr>
      <t>安全衛生に関する教育・研修受講者数：連結　</t>
    </r>
    <r>
      <rPr>
        <b/>
        <sz val="12"/>
        <color theme="1"/>
        <rFont val="Mazda Type"/>
      </rPr>
      <t xml:space="preserve"> </t>
    </r>
    <r>
      <rPr>
        <b/>
        <sz val="12"/>
        <color theme="1"/>
        <rFont val="Mazda Type"/>
        <family val="3"/>
        <charset val="128"/>
      </rPr>
      <t>Number of Participants in Education and Training Programs Concerning Occupational Safety and Health</t>
    </r>
    <r>
      <rPr>
        <b/>
        <sz val="12"/>
        <color theme="1"/>
        <rFont val="ＭＳ Ｐゴシック"/>
        <family val="3"/>
        <charset val="128"/>
      </rPr>
      <t>：</t>
    </r>
    <r>
      <rPr>
        <b/>
        <sz val="12"/>
        <color theme="1"/>
        <rFont val="Mazda Type"/>
        <family val="3"/>
        <charset val="128"/>
      </rPr>
      <t>Consolidated</t>
    </r>
    <rPh sb="0" eb="2">
      <t>アンゼン</t>
    </rPh>
    <rPh sb="2" eb="4">
      <t>エイセイ</t>
    </rPh>
    <rPh sb="5" eb="6">
      <t>カン</t>
    </rPh>
    <rPh sb="8" eb="10">
      <t>キョウイク</t>
    </rPh>
    <rPh sb="11" eb="13">
      <t>ケンシュウ</t>
    </rPh>
    <rPh sb="13" eb="16">
      <t>ジュコウシャ</t>
    </rPh>
    <rPh sb="16" eb="17">
      <t>スウ</t>
    </rPh>
    <rPh sb="18" eb="20">
      <t>レンケツ</t>
    </rPh>
    <phoneticPr fontId="1"/>
  </si>
  <si>
    <r>
      <rPr>
        <sz val="10"/>
        <color theme="1"/>
        <rFont val="源真ゴシックP Normal"/>
        <family val="3"/>
        <charset val="128"/>
      </rPr>
      <t xml:space="preserve">単位 </t>
    </r>
    <r>
      <rPr>
        <sz val="10"/>
        <color theme="1"/>
        <rFont val="Mazda Type"/>
      </rPr>
      <t>Unit</t>
    </r>
    <phoneticPr fontId="1"/>
  </si>
  <si>
    <r>
      <rPr>
        <sz val="10"/>
        <color theme="1"/>
        <rFont val="源真ゴシックP Normal"/>
        <family val="3"/>
        <charset val="128"/>
      </rPr>
      <t xml:space="preserve">労働安全衛生法に定められた法定教育（特別教育等）の実施
</t>
    </r>
    <r>
      <rPr>
        <sz val="10"/>
        <color theme="1"/>
        <rFont val="Mazda Type"/>
        <family val="3"/>
      </rPr>
      <t>Safety and health training prescribed by the Occupational Safety and Health Law</t>
    </r>
    <rPh sb="0" eb="2">
      <t>ロウドウ</t>
    </rPh>
    <rPh sb="2" eb="4">
      <t>アンゼン</t>
    </rPh>
    <rPh sb="4" eb="7">
      <t>エイセイホウ</t>
    </rPh>
    <rPh sb="8" eb="9">
      <t>サダ</t>
    </rPh>
    <rPh sb="13" eb="15">
      <t>ホウテイ</t>
    </rPh>
    <rPh sb="15" eb="17">
      <t>キョウイク</t>
    </rPh>
    <rPh sb="18" eb="22">
      <t>トクベツキョウイク</t>
    </rPh>
    <rPh sb="22" eb="23">
      <t>トウ</t>
    </rPh>
    <rPh sb="25" eb="27">
      <t>ジッシ</t>
    </rPh>
    <phoneticPr fontId="6"/>
  </si>
  <si>
    <r>
      <rPr>
        <sz val="10"/>
        <color theme="1"/>
        <rFont val="源真ゴシックP Normal"/>
        <family val="3"/>
        <charset val="128"/>
      </rPr>
      <t>人</t>
    </r>
    <r>
      <rPr>
        <sz val="10"/>
        <color theme="1"/>
        <rFont val="Mazda Type"/>
      </rPr>
      <t xml:space="preserve"> persons</t>
    </r>
    <phoneticPr fontId="1"/>
  </si>
  <si>
    <r>
      <rPr>
        <b/>
        <sz val="12"/>
        <color theme="1"/>
        <rFont val="源真ゴシックP Normal"/>
        <family val="3"/>
        <charset val="128"/>
      </rPr>
      <t>健康管理に関する実績</t>
    </r>
    <r>
      <rPr>
        <b/>
        <sz val="12"/>
        <color theme="1"/>
        <rFont val="ＭＳ Ｐゴシック"/>
        <family val="3"/>
        <charset val="128"/>
      </rPr>
      <t>：</t>
    </r>
    <r>
      <rPr>
        <b/>
        <sz val="12"/>
        <color theme="1"/>
        <rFont val="源真ゴシックP Normal"/>
        <family val="3"/>
        <charset val="128"/>
      </rPr>
      <t xml:space="preserve">単体 </t>
    </r>
    <r>
      <rPr>
        <b/>
        <sz val="12"/>
        <color theme="1"/>
        <rFont val="Mazda Type"/>
      </rPr>
      <t>Health Management Results: Non-consolidated</t>
    </r>
    <rPh sb="11" eb="13">
      <t>タンタイ</t>
    </rPh>
    <phoneticPr fontId="1"/>
  </si>
  <si>
    <r>
      <rPr>
        <sz val="10"/>
        <color theme="1"/>
        <rFont val="源真ゴシックP Normal"/>
        <family val="3"/>
        <charset val="128"/>
      </rPr>
      <t xml:space="preserve">げんき診断（ストレスチェック）における組織診断
</t>
    </r>
    <r>
      <rPr>
        <sz val="10"/>
        <color theme="1"/>
        <rFont val="Mazda Type"/>
      </rPr>
      <t>Organizational diagnosis in vitality checkups (stress checks)</t>
    </r>
    <phoneticPr fontId="6"/>
  </si>
  <si>
    <r>
      <rPr>
        <sz val="10"/>
        <color theme="1"/>
        <rFont val="源真ゴシックP Normal"/>
        <family val="3"/>
        <charset val="128"/>
      </rPr>
      <t xml:space="preserve">実施率 </t>
    </r>
    <r>
      <rPr>
        <sz val="10"/>
        <color theme="1"/>
        <rFont val="Mazda Type"/>
      </rPr>
      <t>Ratio of implementation</t>
    </r>
    <phoneticPr fontId="6"/>
  </si>
  <si>
    <r>
      <rPr>
        <sz val="10"/>
        <color theme="1"/>
        <rFont val="源真ゴシックP Normal"/>
        <family val="3"/>
        <charset val="128"/>
      </rPr>
      <t>総合健康リスク</t>
    </r>
    <r>
      <rPr>
        <vertAlign val="superscript"/>
        <sz val="10"/>
        <color theme="1"/>
        <rFont val="Mazda Type"/>
      </rPr>
      <t xml:space="preserve">*1 </t>
    </r>
    <r>
      <rPr>
        <sz val="10"/>
        <color theme="1"/>
        <rFont val="Mazda Type"/>
      </rPr>
      <t>Comprehensive health risk</t>
    </r>
    <r>
      <rPr>
        <vertAlign val="superscript"/>
        <sz val="10"/>
        <color theme="1"/>
        <rFont val="Mazda Type"/>
      </rPr>
      <t>*1</t>
    </r>
    <phoneticPr fontId="1"/>
  </si>
  <si>
    <r>
      <rPr>
        <sz val="10"/>
        <color theme="1"/>
        <rFont val="源真ゴシックP Normal"/>
        <family val="3"/>
        <charset val="128"/>
      </rPr>
      <t>組織の総合健康度</t>
    </r>
    <r>
      <rPr>
        <vertAlign val="superscript"/>
        <sz val="10"/>
        <color theme="1"/>
        <rFont val="Mazda Type"/>
      </rPr>
      <t xml:space="preserve">*2 </t>
    </r>
    <r>
      <rPr>
        <sz val="10"/>
        <color theme="1"/>
        <rFont val="Mazda Type"/>
      </rPr>
      <t>Comprehensive health degree of the organization</t>
    </r>
    <r>
      <rPr>
        <vertAlign val="superscript"/>
        <sz val="10"/>
        <color theme="1"/>
        <rFont val="Mazda Type"/>
      </rPr>
      <t>*2</t>
    </r>
    <phoneticPr fontId="1"/>
  </si>
  <si>
    <r>
      <rPr>
        <sz val="10"/>
        <color theme="1"/>
        <rFont val="源真ゴシックP Normal"/>
        <family val="3"/>
        <charset val="128"/>
      </rPr>
      <t xml:space="preserve">生活習慣病対策
</t>
    </r>
    <r>
      <rPr>
        <sz val="10"/>
        <color theme="1"/>
        <rFont val="Mazda Type"/>
      </rPr>
      <t>Measures for lifestyle-related diseases</t>
    </r>
    <phoneticPr fontId="6"/>
  </si>
  <si>
    <r>
      <rPr>
        <sz val="10"/>
        <color theme="1"/>
        <rFont val="源真ゴシックP Normal"/>
        <family val="3"/>
        <charset val="128"/>
      </rPr>
      <t xml:space="preserve">喫煙率 </t>
    </r>
    <r>
      <rPr>
        <sz val="10"/>
        <color theme="1"/>
        <rFont val="Mazda Type"/>
      </rPr>
      <t>Percentage of smokers</t>
    </r>
    <phoneticPr fontId="1"/>
  </si>
  <si>
    <r>
      <rPr>
        <sz val="10"/>
        <color theme="1"/>
        <rFont val="源真ゴシックP Normal"/>
        <family val="3"/>
        <charset val="128"/>
      </rPr>
      <t xml:space="preserve">「マツダいきいきウォーク」参加者	 </t>
    </r>
    <r>
      <rPr>
        <sz val="10"/>
        <color theme="1"/>
        <rFont val="Mazda Type"/>
      </rPr>
      <t>Number of participants in Mazda Active Walking</t>
    </r>
    <phoneticPr fontId="1"/>
  </si>
  <si>
    <r>
      <rPr>
        <sz val="10"/>
        <color theme="1"/>
        <rFont val="源真ゴシックP Normal"/>
        <family val="3"/>
        <charset val="128"/>
      </rPr>
      <t xml:space="preserve">人 </t>
    </r>
    <r>
      <rPr>
        <sz val="10"/>
        <color theme="1"/>
        <rFont val="Mazda Type"/>
      </rPr>
      <t>Persons</t>
    </r>
    <rPh sb="0" eb="1">
      <t>ニン</t>
    </rPh>
    <phoneticPr fontId="6"/>
  </si>
  <si>
    <r>
      <rPr>
        <sz val="10"/>
        <color theme="1"/>
        <rFont val="源真ゴシックP Normal"/>
        <family val="3"/>
        <charset val="128"/>
      </rPr>
      <t xml:space="preserve">保健指導
</t>
    </r>
    <r>
      <rPr>
        <sz val="10"/>
        <color theme="1"/>
        <rFont val="Mazda Type"/>
      </rPr>
      <t>Healthcare guidance</t>
    </r>
    <phoneticPr fontId="6"/>
  </si>
  <si>
    <r>
      <rPr>
        <sz val="10"/>
        <color theme="1"/>
        <rFont val="源真ゴシックP Normal"/>
        <family val="3"/>
        <charset val="128"/>
      </rPr>
      <t xml:space="preserve">健康診断の結果に基づいた個別指導（特定保健指導を含む）
</t>
    </r>
    <r>
      <rPr>
        <sz val="10"/>
        <color theme="1"/>
        <rFont val="Mazda Type"/>
      </rPr>
      <t>Personal guidance on the basis of health checkup results (including specific health guidance)</t>
    </r>
    <phoneticPr fontId="1"/>
  </si>
  <si>
    <r>
      <rPr>
        <sz val="10"/>
        <color theme="1"/>
        <rFont val="源真ゴシックP Normal"/>
        <family val="3"/>
        <charset val="128"/>
      </rPr>
      <t xml:space="preserve">件 </t>
    </r>
    <r>
      <rPr>
        <sz val="10"/>
        <color theme="1"/>
        <rFont val="Mazda Type"/>
      </rPr>
      <t>Cases</t>
    </r>
    <rPh sb="0" eb="1">
      <t>ケン</t>
    </rPh>
    <phoneticPr fontId="6"/>
  </si>
  <si>
    <r>
      <t xml:space="preserve">*1 </t>
    </r>
    <r>
      <rPr>
        <sz val="10"/>
        <color theme="1"/>
        <rFont val="源真ゴシックP Normal"/>
        <family val="3"/>
        <charset val="128"/>
      </rPr>
      <t>仕事量／裁量度／支援状況から健康影響（リスク）を示す指標。全国平均（厚生労働省発表）</t>
    </r>
    <r>
      <rPr>
        <sz val="10"/>
        <color theme="1"/>
        <rFont val="Mazda Type"/>
      </rPr>
      <t>100</t>
    </r>
    <r>
      <rPr>
        <sz val="10"/>
        <color theme="1"/>
        <rFont val="源真ゴシックP Normal"/>
        <family val="3"/>
        <charset val="128"/>
      </rPr>
      <t xml:space="preserve">を基準に表示（値が小さい＝リスクが小さい）
</t>
    </r>
    <r>
      <rPr>
        <sz val="10"/>
        <color theme="1"/>
        <rFont val="Mazda Type"/>
      </rPr>
      <t>*1 An indicator of health effect (risk), based on workload/discretion/support conditions. The above figures are calculated assuming the national average value (announced by the Ministry of Health, Labour and Welfare) to be 100. (A smaller value indicates a smaller risk.)</t>
    </r>
    <phoneticPr fontId="6"/>
  </si>
  <si>
    <r>
      <t xml:space="preserve">*2 </t>
    </r>
    <r>
      <rPr>
        <sz val="10"/>
        <color theme="1"/>
        <rFont val="源真ゴシックP Normal"/>
        <family val="3"/>
        <charset val="128"/>
      </rPr>
      <t xml:space="preserve">ストレス反応とワーク・エンゲージメントから組織の現在の健康度を示す指標。偏差値表示
</t>
    </r>
    <r>
      <rPr>
        <sz val="10"/>
        <color theme="1"/>
        <rFont val="Mazda Type"/>
      </rPr>
      <t>*2 An indicator of the organization’s current health degree, based on the stress response and work engagement. Expressed as a deviation value.</t>
    </r>
    <phoneticPr fontId="1"/>
  </si>
  <si>
    <r>
      <rPr>
        <b/>
        <sz val="12"/>
        <color theme="1"/>
        <rFont val="源真ゴシックP Normal"/>
        <family val="3"/>
        <charset val="128"/>
      </rPr>
      <t>マツダコールセンター問い合わせ内訳</t>
    </r>
    <r>
      <rPr>
        <b/>
        <sz val="12"/>
        <color theme="1"/>
        <rFont val="ＭＳ Ｐゴシック"/>
        <family val="3"/>
        <charset val="128"/>
      </rPr>
      <t>：</t>
    </r>
    <r>
      <rPr>
        <b/>
        <sz val="12"/>
        <color theme="1"/>
        <rFont val="源真ゴシックP Normal"/>
        <family val="3"/>
        <charset val="128"/>
      </rPr>
      <t xml:space="preserve">国内 </t>
    </r>
    <r>
      <rPr>
        <b/>
        <sz val="12"/>
        <color theme="1"/>
        <rFont val="Mazda Type"/>
      </rPr>
      <t>Breakdown of Mazda Call Center Customer Responses by Type: Japan</t>
    </r>
    <rPh sb="18" eb="20">
      <t>コクナイ</t>
    </rPh>
    <phoneticPr fontId="1"/>
  </si>
  <si>
    <r>
      <rPr>
        <sz val="10"/>
        <color theme="1"/>
        <rFont val="源真ゴシックP Normal"/>
        <family val="3"/>
        <charset val="128"/>
      </rPr>
      <t xml:space="preserve">質問 </t>
    </r>
    <r>
      <rPr>
        <sz val="10"/>
        <color theme="1"/>
        <rFont val="Mazda Type"/>
      </rPr>
      <t>Questions</t>
    </r>
    <phoneticPr fontId="6"/>
  </si>
  <si>
    <r>
      <rPr>
        <sz val="10"/>
        <color theme="1"/>
        <rFont val="源真ゴシックP Normal"/>
        <family val="3"/>
        <charset val="128"/>
      </rPr>
      <t xml:space="preserve">件 </t>
    </r>
    <r>
      <rPr>
        <sz val="10"/>
        <color theme="1"/>
        <rFont val="Mazda Type"/>
      </rPr>
      <t>Cases</t>
    </r>
    <phoneticPr fontId="6"/>
  </si>
  <si>
    <r>
      <rPr>
        <sz val="10"/>
        <color theme="1"/>
        <rFont val="源真ゴシックP Normal"/>
        <family val="3"/>
        <charset val="128"/>
      </rPr>
      <t xml:space="preserve">苦情（ご不満） </t>
    </r>
    <r>
      <rPr>
        <sz val="10"/>
        <color theme="1"/>
        <rFont val="Mazda Type"/>
      </rPr>
      <t>Complaints</t>
    </r>
    <phoneticPr fontId="6"/>
  </si>
  <si>
    <r>
      <rPr>
        <sz val="10"/>
        <color theme="1"/>
        <rFont val="源真ゴシックP Normal"/>
        <family val="3"/>
        <charset val="128"/>
      </rPr>
      <t xml:space="preserve">その他 </t>
    </r>
    <r>
      <rPr>
        <sz val="10"/>
        <color theme="1"/>
        <rFont val="Mazda Type"/>
      </rPr>
      <t>Other</t>
    </r>
    <phoneticPr fontId="6"/>
  </si>
  <si>
    <r>
      <rPr>
        <sz val="10"/>
        <color theme="1"/>
        <rFont val="源真ゴシックP Normal"/>
        <family val="3"/>
        <charset val="128"/>
      </rPr>
      <t xml:space="preserve">合計 </t>
    </r>
    <r>
      <rPr>
        <sz val="10"/>
        <color theme="1"/>
        <rFont val="Mazda Type"/>
      </rPr>
      <t>Total</t>
    </r>
    <phoneticPr fontId="6"/>
  </si>
  <si>
    <r>
      <rPr>
        <b/>
        <sz val="12"/>
        <color theme="1"/>
        <rFont val="源真ゴシックP Normal"/>
        <family val="3"/>
        <charset val="128"/>
      </rPr>
      <t>リコール</t>
    </r>
    <r>
      <rPr>
        <b/>
        <sz val="12"/>
        <color theme="1"/>
        <rFont val="ＭＳ Ｐゴシック"/>
        <family val="3"/>
        <charset val="128"/>
      </rPr>
      <t>：</t>
    </r>
    <r>
      <rPr>
        <b/>
        <sz val="12"/>
        <color theme="1"/>
        <rFont val="源真ゴシックP Normal"/>
        <family val="3"/>
        <charset val="128"/>
      </rPr>
      <t xml:space="preserve">国内 </t>
    </r>
    <r>
      <rPr>
        <b/>
        <sz val="12"/>
        <color theme="1"/>
        <rFont val="Mazda Type"/>
      </rPr>
      <t>Recalls: Japan</t>
    </r>
    <phoneticPr fontId="1"/>
  </si>
  <si>
    <r>
      <rPr>
        <sz val="10"/>
        <color theme="1"/>
        <rFont val="源真ゴシックP Normal"/>
        <family val="3"/>
        <charset val="128"/>
      </rPr>
      <t xml:space="preserve">単位 </t>
    </r>
    <r>
      <rPr>
        <sz val="10"/>
        <color theme="1"/>
        <rFont val="Mazda Type"/>
      </rPr>
      <t>Unit</t>
    </r>
    <phoneticPr fontId="6"/>
  </si>
  <si>
    <r>
      <rPr>
        <sz val="10"/>
        <color theme="1"/>
        <rFont val="源真ゴシックP Normal"/>
        <family val="3"/>
        <charset val="128"/>
      </rPr>
      <t xml:space="preserve">リコール件数 </t>
    </r>
    <r>
      <rPr>
        <sz val="10"/>
        <color theme="1"/>
        <rFont val="Mazda Type"/>
        <family val="3"/>
      </rPr>
      <t>Number of recall cases</t>
    </r>
    <rPh sb="5" eb="6">
      <t>スウ</t>
    </rPh>
    <phoneticPr fontId="6"/>
  </si>
  <si>
    <r>
      <t xml:space="preserve">リコール台数 </t>
    </r>
    <r>
      <rPr>
        <sz val="10"/>
        <color theme="1"/>
        <rFont val="Mazda Type"/>
      </rPr>
      <t>Number of vehicles recalled</t>
    </r>
    <rPh sb="4" eb="6">
      <t>ダイスウ</t>
    </rPh>
    <phoneticPr fontId="6"/>
  </si>
  <si>
    <r>
      <rPr>
        <sz val="10"/>
        <color theme="1"/>
        <rFont val="源真ゴシックP Normal"/>
        <family val="3"/>
        <charset val="128"/>
      </rPr>
      <t xml:space="preserve">万台 </t>
    </r>
    <r>
      <rPr>
        <sz val="10"/>
        <color theme="1"/>
        <rFont val="Mazda Type"/>
      </rPr>
      <t>10,000 vehicles</t>
    </r>
    <phoneticPr fontId="6"/>
  </si>
  <si>
    <r>
      <rPr>
        <b/>
        <sz val="12"/>
        <color theme="1"/>
        <rFont val="源真ゴシックP Normal"/>
        <family val="3"/>
        <charset val="128"/>
      </rPr>
      <t>社会貢献活動費用</t>
    </r>
    <r>
      <rPr>
        <b/>
        <sz val="12"/>
        <color theme="1"/>
        <rFont val="Mazda Type"/>
      </rPr>
      <t>*</t>
    </r>
    <r>
      <rPr>
        <b/>
        <sz val="12"/>
        <color theme="1"/>
        <rFont val="源真ゴシックP Normal"/>
        <family val="3"/>
        <charset val="128"/>
      </rPr>
      <t xml:space="preserve">：連結 </t>
    </r>
    <r>
      <rPr>
        <b/>
        <sz val="12"/>
        <color theme="1"/>
        <rFont val="Mazda Type"/>
      </rPr>
      <t>Expenses Related to Social Contribution Activities*: Consolidated</t>
    </r>
    <rPh sb="10" eb="12">
      <t>レンケツ</t>
    </rPh>
    <phoneticPr fontId="1"/>
  </si>
  <si>
    <r>
      <rPr>
        <sz val="10"/>
        <color theme="1"/>
        <rFont val="源真ゴシックP Normal"/>
        <family val="3"/>
        <charset val="128"/>
      </rPr>
      <t xml:space="preserve">単位 </t>
    </r>
    <r>
      <rPr>
        <sz val="10"/>
        <color theme="1"/>
        <rFont val="Mazda Type"/>
      </rPr>
      <t>Unit</t>
    </r>
    <rPh sb="0" eb="2">
      <t>タンイ</t>
    </rPh>
    <phoneticPr fontId="1"/>
  </si>
  <si>
    <r>
      <rPr>
        <sz val="10"/>
        <color theme="1"/>
        <rFont val="源真ゴシックP Normal"/>
        <family val="3"/>
        <charset val="128"/>
      </rPr>
      <t xml:space="preserve">現金寄付（広告協賛含む） </t>
    </r>
    <r>
      <rPr>
        <sz val="10"/>
        <color theme="1"/>
        <rFont val="Mazda Type"/>
      </rPr>
      <t>Cash donations (including advertising sponsorships)</t>
    </r>
    <phoneticPr fontId="6"/>
  </si>
  <si>
    <r>
      <rPr>
        <sz val="10"/>
        <color theme="1"/>
        <rFont val="源真ゴシックP Normal"/>
        <family val="3"/>
        <charset val="128"/>
      </rPr>
      <t xml:space="preserve">就労時間内でボランティアに従事した社員の人件費 </t>
    </r>
    <r>
      <rPr>
        <sz val="10"/>
        <color theme="1"/>
        <rFont val="Mazda Type"/>
      </rPr>
      <t>Labor costs for employees who volunteer during working hours</t>
    </r>
    <phoneticPr fontId="6"/>
  </si>
  <si>
    <r>
      <rPr>
        <sz val="10"/>
        <color theme="1"/>
        <rFont val="源真ゴシックP Normal"/>
        <family val="3"/>
        <charset val="128"/>
      </rPr>
      <t xml:space="preserve">現物寄付（金額換算値） </t>
    </r>
    <r>
      <rPr>
        <sz val="10"/>
        <color theme="1"/>
        <rFont val="Mazda Type"/>
      </rPr>
      <t>Contribution in kind (in monetary terms)</t>
    </r>
    <phoneticPr fontId="6"/>
  </si>
  <si>
    <r>
      <rPr>
        <sz val="10"/>
        <color theme="1"/>
        <rFont val="源真ゴシックP Normal"/>
        <family val="3"/>
        <charset val="128"/>
      </rPr>
      <t xml:space="preserve">運営費（自主プログラム経費、施設開放など） </t>
    </r>
    <r>
      <rPr>
        <sz val="10"/>
        <color theme="1"/>
        <rFont val="Mazda Type"/>
      </rPr>
      <t>Operating expenses (voluntary program expenses, facility openings, etc.)</t>
    </r>
    <phoneticPr fontId="6"/>
  </si>
  <si>
    <r>
      <t xml:space="preserve">* </t>
    </r>
    <r>
      <rPr>
        <sz val="10"/>
        <color theme="1"/>
        <rFont val="源真ゴシックP Normal"/>
        <family val="3"/>
        <charset val="128"/>
      </rPr>
      <t xml:space="preserve">集計範囲：マツダ単体および主要な国内外連結子会社
</t>
    </r>
    <r>
      <rPr>
        <sz val="10"/>
        <color theme="1"/>
        <rFont val="Mazda Type"/>
      </rPr>
      <t>* Boundary of data collection: Mazda Motor Corporation and major domestic and overseas consolidated subsidiaries</t>
    </r>
    <phoneticPr fontId="1"/>
  </si>
  <si>
    <r>
      <rPr>
        <b/>
        <sz val="12"/>
        <color theme="1"/>
        <rFont val="源真ゴシックP Normal"/>
        <family val="3"/>
        <charset val="128"/>
      </rPr>
      <t xml:space="preserve">人権擁護活動（相談内容）：単体 </t>
    </r>
    <r>
      <rPr>
        <b/>
        <sz val="12"/>
        <color theme="1"/>
        <rFont val="Mazda Type"/>
      </rPr>
      <t>Breakdown of Human Rights Consultations: Non-consolidated</t>
    </r>
    <rPh sb="13" eb="15">
      <t>タンタイ</t>
    </rPh>
    <phoneticPr fontId="1"/>
  </si>
  <si>
    <r>
      <rPr>
        <sz val="10"/>
        <color theme="1"/>
        <rFont val="源真ゴシックP Normal"/>
        <family val="3"/>
        <charset val="128"/>
      </rPr>
      <t xml:space="preserve">ハラスメント </t>
    </r>
    <r>
      <rPr>
        <sz val="10"/>
        <color theme="1"/>
        <rFont val="Mazda Type"/>
      </rPr>
      <t>Harassment</t>
    </r>
    <phoneticPr fontId="1"/>
  </si>
  <si>
    <r>
      <rPr>
        <sz val="10"/>
        <color theme="1"/>
        <rFont val="源真ゴシックP Normal"/>
        <family val="3"/>
        <charset val="128"/>
      </rPr>
      <t xml:space="preserve">職場の人間関係 </t>
    </r>
    <r>
      <rPr>
        <sz val="10"/>
        <color theme="1"/>
        <rFont val="Mazda Type"/>
      </rPr>
      <t>Human relationships in the workplace</t>
    </r>
    <phoneticPr fontId="1"/>
  </si>
  <si>
    <r>
      <rPr>
        <sz val="10"/>
        <color theme="1"/>
        <rFont val="源真ゴシックP Normal"/>
        <family val="3"/>
        <charset val="128"/>
      </rPr>
      <t xml:space="preserve">その他 </t>
    </r>
    <r>
      <rPr>
        <sz val="10"/>
        <color theme="1"/>
        <rFont val="Mazda Type"/>
      </rPr>
      <t>Other</t>
    </r>
    <phoneticPr fontId="1"/>
  </si>
  <si>
    <r>
      <rPr>
        <b/>
        <sz val="12"/>
        <color theme="1"/>
        <rFont val="源真ゴシックP Normal"/>
        <family val="3"/>
        <charset val="128"/>
      </rPr>
      <t>マツダ・グローバル・ホットラインへの通報件数</t>
    </r>
    <r>
      <rPr>
        <b/>
        <sz val="12"/>
        <color theme="1"/>
        <rFont val="Mazda Type"/>
      </rPr>
      <t>*</t>
    </r>
    <r>
      <rPr>
        <b/>
        <sz val="12"/>
        <color theme="1"/>
        <rFont val="源真ゴシックP Normal"/>
        <family val="3"/>
        <charset val="128"/>
      </rPr>
      <t xml:space="preserve">：連結 </t>
    </r>
    <r>
      <rPr>
        <b/>
        <sz val="12"/>
        <color theme="1"/>
        <rFont val="Mazda Type"/>
      </rPr>
      <t>Number of Reports to the Mazda Global Hotline*: Consolidated</t>
    </r>
    <rPh sb="18" eb="20">
      <t>ツウホウ</t>
    </rPh>
    <rPh sb="20" eb="22">
      <t>ケンスウ</t>
    </rPh>
    <rPh sb="24" eb="26">
      <t>レンケツ</t>
    </rPh>
    <phoneticPr fontId="1"/>
  </si>
  <si>
    <r>
      <rPr>
        <sz val="10"/>
        <color theme="1"/>
        <rFont val="源真ゴシックP Normal"/>
        <family val="3"/>
        <charset val="128"/>
      </rPr>
      <t xml:space="preserve">マツダに関する通報 </t>
    </r>
    <r>
      <rPr>
        <sz val="10"/>
        <color theme="1"/>
        <rFont val="Mazda Type"/>
      </rPr>
      <t>Reports regarding Mazda</t>
    </r>
    <phoneticPr fontId="6"/>
  </si>
  <si>
    <r>
      <rPr>
        <sz val="10"/>
        <color theme="1"/>
        <rFont val="源真ゴシックP Normal"/>
        <family val="3"/>
        <charset val="128"/>
      </rPr>
      <t xml:space="preserve">関係会社に関する通報 </t>
    </r>
    <r>
      <rPr>
        <sz val="10"/>
        <color theme="1"/>
        <rFont val="Mazda Type"/>
      </rPr>
      <t>Reports regarding Group companies</t>
    </r>
    <phoneticPr fontId="1"/>
  </si>
  <si>
    <r>
      <rPr>
        <sz val="10"/>
        <color theme="1"/>
        <rFont val="源真ゴシックP Normal"/>
        <family val="3"/>
        <charset val="128"/>
      </rPr>
      <t xml:space="preserve">不明 </t>
    </r>
    <r>
      <rPr>
        <sz val="10"/>
        <color theme="1"/>
        <rFont val="Mazda Type"/>
      </rPr>
      <t>Unknown</t>
    </r>
    <phoneticPr fontId="1"/>
  </si>
  <si>
    <r>
      <t xml:space="preserve">* </t>
    </r>
    <r>
      <rPr>
        <sz val="10"/>
        <color theme="1"/>
        <rFont val="源真ゴシックP Normal"/>
        <family val="3"/>
        <charset val="128"/>
      </rPr>
      <t xml:space="preserve">ハラスメントなどの労務問題、労働時間管理、就業規則違反などの疑いに関する通報、相談案件含む
</t>
    </r>
    <r>
      <rPr>
        <sz val="10"/>
        <color theme="1"/>
        <rFont val="Mazda Type"/>
      </rPr>
      <t>* Including reports and consultations related to harassment and other labor-related problems, working hours management, and suspected violations of the Mazda working regulations</t>
    </r>
    <phoneticPr fontId="1"/>
  </si>
  <si>
    <r>
      <rPr>
        <b/>
        <sz val="12"/>
        <color theme="1"/>
        <rFont val="源真ゴシックP Normal"/>
        <family val="3"/>
        <charset val="128"/>
      </rPr>
      <t>グローバル社員意識調査</t>
    </r>
    <r>
      <rPr>
        <b/>
        <sz val="12"/>
        <color theme="1"/>
        <rFont val="Mazda Type"/>
      </rPr>
      <t xml:space="preserve"> </t>
    </r>
    <r>
      <rPr>
        <b/>
        <sz val="12"/>
        <color theme="1"/>
        <rFont val="源真ゴシックP Normal"/>
        <family val="3"/>
        <charset val="128"/>
      </rPr>
      <t xml:space="preserve">肯定回答率 </t>
    </r>
    <r>
      <rPr>
        <b/>
        <sz val="12"/>
        <color theme="1"/>
        <rFont val="Mazda Type"/>
      </rPr>
      <t>Global Employee Survey (Positive Answer Percentage)</t>
    </r>
    <phoneticPr fontId="1"/>
  </si>
  <si>
    <r>
      <rPr>
        <sz val="10"/>
        <color theme="1"/>
        <rFont val="源真ゴシックP Normal"/>
        <family val="3"/>
        <charset val="128"/>
      </rPr>
      <t xml:space="preserve">内容
</t>
    </r>
    <r>
      <rPr>
        <sz val="10"/>
        <color theme="1"/>
        <rFont val="Mazda Type"/>
      </rPr>
      <t>Contents</t>
    </r>
    <phoneticPr fontId="1"/>
  </si>
  <si>
    <r>
      <rPr>
        <sz val="10"/>
        <color theme="1"/>
        <rFont val="源真ゴシックP Normal"/>
        <family val="3"/>
        <charset val="128"/>
      </rPr>
      <t xml:space="preserve">調査項目
</t>
    </r>
    <r>
      <rPr>
        <sz val="10"/>
        <color theme="1"/>
        <rFont val="Mazda Type"/>
      </rPr>
      <t>Survey items</t>
    </r>
    <phoneticPr fontId="6"/>
  </si>
  <si>
    <r>
      <t>CSR</t>
    </r>
    <r>
      <rPr>
        <vertAlign val="superscript"/>
        <sz val="10"/>
        <color theme="1"/>
        <rFont val="Mazda Type"/>
      </rPr>
      <t>*</t>
    </r>
    <r>
      <rPr>
        <sz val="10"/>
        <color theme="1"/>
        <rFont val="Mazda Type"/>
      </rPr>
      <t xml:space="preserve"> : </t>
    </r>
    <r>
      <rPr>
        <sz val="10"/>
        <color theme="1"/>
        <rFont val="源真ゴシックP Normal"/>
        <family val="3"/>
        <charset val="128"/>
      </rPr>
      <t>単体</t>
    </r>
    <r>
      <rPr>
        <sz val="10"/>
        <color theme="1"/>
        <rFont val="Mazda Type"/>
      </rPr>
      <t xml:space="preserve"> Non-consolidated</t>
    </r>
    <rPh sb="7" eb="9">
      <t>タンタイ</t>
    </rPh>
    <phoneticPr fontId="1"/>
  </si>
  <si>
    <r>
      <t>CSR</t>
    </r>
    <r>
      <rPr>
        <sz val="10"/>
        <color theme="1"/>
        <rFont val="源真ゴシックP Normal"/>
        <family val="3"/>
        <charset val="128"/>
      </rPr>
      <t xml:space="preserve">に取り組んでいる
</t>
    </r>
    <r>
      <rPr>
        <sz val="10"/>
        <color theme="1"/>
        <rFont val="Mazda Type"/>
      </rPr>
      <t>I’m working on CSR activities.</t>
    </r>
    <phoneticPr fontId="1"/>
  </si>
  <si>
    <r>
      <rPr>
        <sz val="10"/>
        <color theme="1"/>
        <rFont val="源真ゴシックP Normal"/>
        <family val="3"/>
        <charset val="128"/>
      </rPr>
      <t>人権</t>
    </r>
    <r>
      <rPr>
        <sz val="10"/>
        <color theme="1"/>
        <rFont val="Mazda Type"/>
      </rPr>
      <t>*</t>
    </r>
    <r>
      <rPr>
        <vertAlign val="superscript"/>
        <sz val="10"/>
        <color theme="1"/>
        <rFont val="Mazda Type"/>
      </rPr>
      <t xml:space="preserve">1 </t>
    </r>
    <r>
      <rPr>
        <sz val="10"/>
        <color theme="1"/>
        <rFont val="Mazda Type"/>
      </rPr>
      <t>Human rights</t>
    </r>
    <r>
      <rPr>
        <vertAlign val="superscript"/>
        <sz val="10"/>
        <color theme="1"/>
        <rFont val="Mazda Type"/>
      </rPr>
      <t xml:space="preserve">*1 </t>
    </r>
    <r>
      <rPr>
        <sz val="10"/>
        <color theme="1"/>
        <rFont val="Mazda Type"/>
      </rPr>
      <t xml:space="preserve">: </t>
    </r>
    <r>
      <rPr>
        <sz val="10"/>
        <color theme="1"/>
        <rFont val="源真ゴシックP Normal"/>
        <family val="3"/>
        <charset val="128"/>
      </rPr>
      <t>単体</t>
    </r>
    <r>
      <rPr>
        <sz val="10"/>
        <color theme="1"/>
        <rFont val="Mazda Type"/>
        <family val="3"/>
        <charset val="128"/>
      </rPr>
      <t xml:space="preserve"> Non-consolidated</t>
    </r>
    <phoneticPr fontId="1"/>
  </si>
  <si>
    <r>
      <rPr>
        <sz val="10"/>
        <color theme="1"/>
        <rFont val="源真ゴシックP Normal"/>
        <family val="3"/>
        <charset val="128"/>
      </rPr>
      <t xml:space="preserve">人権の理念・方針を理解している
</t>
    </r>
    <r>
      <rPr>
        <sz val="10"/>
        <color theme="1"/>
        <rFont val="Mazda Type"/>
      </rPr>
      <t>I understand my company’s basic philosophy and policy for human rights.</t>
    </r>
    <phoneticPr fontId="1"/>
  </si>
  <si>
    <r>
      <rPr>
        <sz val="10"/>
        <color theme="1"/>
        <rFont val="源真ゴシックP Normal"/>
        <family val="3"/>
        <charset val="128"/>
      </rPr>
      <t xml:space="preserve">当社は人権侵害に適切に対応している
</t>
    </r>
    <r>
      <rPr>
        <sz val="10"/>
        <color theme="1"/>
        <rFont val="Mazda Type"/>
      </rPr>
      <t>My company takes appropriate action if there is a violation of human rights.</t>
    </r>
    <phoneticPr fontId="1"/>
  </si>
  <si>
    <r>
      <rPr>
        <sz val="10"/>
        <color theme="1"/>
        <rFont val="源真ゴシックP Normal"/>
        <family val="3"/>
        <charset val="128"/>
      </rPr>
      <t xml:space="preserve">コンプライアンス </t>
    </r>
    <r>
      <rPr>
        <vertAlign val="superscript"/>
        <sz val="10"/>
        <color theme="1"/>
        <rFont val="Mazda Type"/>
      </rPr>
      <t xml:space="preserve"> </t>
    </r>
    <r>
      <rPr>
        <sz val="10"/>
        <color theme="1"/>
        <rFont val="Mazda Type"/>
      </rPr>
      <t>Compliance</t>
    </r>
    <r>
      <rPr>
        <sz val="10"/>
        <color theme="1"/>
        <rFont val="Mazda Type"/>
        <family val="3"/>
        <charset val="128"/>
      </rPr>
      <t xml:space="preserve"> : </t>
    </r>
    <r>
      <rPr>
        <sz val="10"/>
        <color theme="1"/>
        <rFont val="源真ゴシックP Normal"/>
        <family val="3"/>
        <charset val="128"/>
      </rPr>
      <t>連結</t>
    </r>
    <r>
      <rPr>
        <sz val="10"/>
        <color theme="1"/>
        <rFont val="Mazda Type"/>
        <family val="3"/>
        <charset val="128"/>
      </rPr>
      <t xml:space="preserve"> Consolidated</t>
    </r>
    <rPh sb="23" eb="25">
      <t>レンケツ</t>
    </rPh>
    <phoneticPr fontId="1"/>
  </si>
  <si>
    <r>
      <rPr>
        <sz val="10"/>
        <color theme="1"/>
        <rFont val="源真ゴシックP Normal"/>
        <family val="3"/>
        <charset val="128"/>
      </rPr>
      <t xml:space="preserve">当社はコンプライアンスが徹底されている
</t>
    </r>
    <r>
      <rPr>
        <sz val="10"/>
        <color theme="1"/>
        <rFont val="Mazda Type"/>
      </rPr>
      <t>Legal and company policy compliance is strictly observed in this company.</t>
    </r>
    <phoneticPr fontId="1"/>
  </si>
  <si>
    <r>
      <rPr>
        <sz val="10"/>
        <color theme="1"/>
        <rFont val="源真ゴシックP Normal"/>
        <family val="3"/>
        <charset val="128"/>
      </rPr>
      <t xml:space="preserve">意欲 </t>
    </r>
    <r>
      <rPr>
        <vertAlign val="superscript"/>
        <sz val="10"/>
        <color theme="1"/>
        <rFont val="Mazda Type"/>
      </rPr>
      <t xml:space="preserve"> </t>
    </r>
    <r>
      <rPr>
        <sz val="10"/>
        <color theme="1"/>
        <rFont val="Mazda Type"/>
      </rPr>
      <t>Motivation</t>
    </r>
    <r>
      <rPr>
        <sz val="10"/>
        <color theme="1"/>
        <rFont val="Mazda Type"/>
        <family val="3"/>
        <charset val="128"/>
      </rPr>
      <t xml:space="preserve">: </t>
    </r>
    <r>
      <rPr>
        <sz val="10"/>
        <color theme="1"/>
        <rFont val="源真ゴシックP Normal"/>
        <family val="3"/>
        <charset val="128"/>
      </rPr>
      <t xml:space="preserve">連結 </t>
    </r>
    <r>
      <rPr>
        <sz val="10"/>
        <color theme="1"/>
        <rFont val="Mazda Type"/>
        <family val="3"/>
        <charset val="128"/>
      </rPr>
      <t>Consolidated</t>
    </r>
    <phoneticPr fontId="1"/>
  </si>
  <si>
    <r>
      <rPr>
        <sz val="10"/>
        <color theme="1"/>
        <rFont val="源真ゴシックP Normal"/>
        <family val="3"/>
        <charset val="128"/>
      </rPr>
      <t xml:space="preserve">期待を超える仕事をしたいと考える
</t>
    </r>
    <r>
      <rPr>
        <sz val="10"/>
        <color theme="1"/>
        <rFont val="Mazda Type"/>
      </rPr>
      <t>I feel inspired/driven to achieve more than what is expected of me.</t>
    </r>
    <phoneticPr fontId="1"/>
  </si>
  <si>
    <r>
      <rPr>
        <sz val="10"/>
        <color theme="1"/>
        <rFont val="源真ゴシックP Normal"/>
        <family val="3"/>
        <charset val="128"/>
      </rPr>
      <t xml:space="preserve">経営目標と自業務の関係性を認識している
</t>
    </r>
    <r>
      <rPr>
        <sz val="10"/>
        <color theme="1"/>
        <rFont val="Mazda Type"/>
      </rPr>
      <t>I understand my role in helping the company be successful.</t>
    </r>
    <phoneticPr fontId="1"/>
  </si>
  <si>
    <r>
      <rPr>
        <sz val="10"/>
        <color theme="1"/>
        <rFont val="源真ゴシックP Normal"/>
        <family val="3"/>
        <charset val="128"/>
      </rPr>
      <t xml:space="preserve">コーポレートビジョン実現のため提案・実践している
</t>
    </r>
    <r>
      <rPr>
        <sz val="10"/>
        <color theme="1"/>
        <rFont val="Mazda Type"/>
      </rPr>
      <t>I propose and implement new or better ways of working that enable me to deliver Mazda’s Corporate Vision.</t>
    </r>
    <phoneticPr fontId="1"/>
  </si>
  <si>
    <r>
      <t xml:space="preserve">* </t>
    </r>
    <r>
      <rPr>
        <sz val="10"/>
        <color theme="1"/>
        <rFont val="源真ゴシックP Normal"/>
        <family val="3"/>
        <charset val="128"/>
      </rPr>
      <t xml:space="preserve">間接社員の肯定回答率を掲載（調査自体は直接／間接社員の両方を含めて実施）
</t>
    </r>
    <r>
      <rPr>
        <sz val="10"/>
        <color theme="1"/>
        <rFont val="Mazda Type"/>
      </rPr>
      <t>* Percentage of positive responses from indirect employees (The survey was conducted on both direct and indirect employees.)</t>
    </r>
    <phoneticPr fontId="6"/>
  </si>
  <si>
    <r>
      <rPr>
        <b/>
        <sz val="12"/>
        <color theme="1"/>
        <rFont val="源真ゴシックP Normal"/>
        <family val="3"/>
        <charset val="128"/>
      </rPr>
      <t xml:space="preserve">従業員の労働組合所属率：単体 </t>
    </r>
    <r>
      <rPr>
        <b/>
        <sz val="12"/>
        <color theme="1"/>
        <rFont val="Mazda Type"/>
        <family val="3"/>
      </rPr>
      <t>Percentage of Employees with Membership in the Mazda Workers' Union</t>
    </r>
    <r>
      <rPr>
        <b/>
        <sz val="12"/>
        <color theme="1"/>
        <rFont val="Mazda Type"/>
      </rPr>
      <t>: Non-consolidated</t>
    </r>
    <rPh sb="12" eb="14">
      <t>タンタイ</t>
    </rPh>
    <phoneticPr fontId="1"/>
  </si>
  <si>
    <r>
      <rPr>
        <sz val="10"/>
        <color theme="1"/>
        <rFont val="源真ゴシックP Normal"/>
        <family val="3"/>
        <charset val="128"/>
      </rPr>
      <t xml:space="preserve">単位
</t>
    </r>
    <r>
      <rPr>
        <sz val="10"/>
        <color theme="1"/>
        <rFont val="Mazda Type"/>
      </rPr>
      <t>Unit</t>
    </r>
    <phoneticPr fontId="6"/>
  </si>
  <si>
    <r>
      <rPr>
        <sz val="10"/>
        <color theme="1"/>
        <rFont val="源真ゴシックP Normal"/>
        <family val="3"/>
        <charset val="128"/>
      </rPr>
      <t xml:space="preserve">所属 </t>
    </r>
    <r>
      <rPr>
        <sz val="10"/>
        <color theme="1"/>
        <rFont val="Mazda Type"/>
      </rPr>
      <t>Members</t>
    </r>
    <phoneticPr fontId="6"/>
  </si>
  <si>
    <r>
      <rPr>
        <sz val="10"/>
        <color theme="1"/>
        <rFont val="源真ゴシックP Normal"/>
        <family val="3"/>
        <charset val="128"/>
      </rPr>
      <t xml:space="preserve">無所属 </t>
    </r>
    <r>
      <rPr>
        <sz val="10"/>
        <color theme="1"/>
        <rFont val="Mazda Type"/>
      </rPr>
      <t>Non-members</t>
    </r>
    <phoneticPr fontId="6"/>
  </si>
  <si>
    <r>
      <t>2024</t>
    </r>
    <r>
      <rPr>
        <sz val="10"/>
        <color theme="1"/>
        <rFont val="源真ゴシックP Normal"/>
        <family val="3"/>
        <charset val="128"/>
      </rPr>
      <t>年</t>
    </r>
    <r>
      <rPr>
        <sz val="10"/>
        <color theme="1"/>
        <rFont val="Mazda Type"/>
      </rPr>
      <t>3</t>
    </r>
    <r>
      <rPr>
        <sz val="10"/>
        <color theme="1"/>
        <rFont val="源真ゴシックP Normal"/>
        <family val="3"/>
        <charset val="128"/>
      </rPr>
      <t>月</t>
    </r>
    <r>
      <rPr>
        <sz val="10"/>
        <color theme="1"/>
        <rFont val="Mazda Type"/>
      </rPr>
      <t>31</t>
    </r>
    <r>
      <rPr>
        <sz val="10"/>
        <color theme="1"/>
        <rFont val="源真ゴシックP Normal"/>
        <family val="3"/>
        <charset val="128"/>
      </rPr>
      <t xml:space="preserve">日時点
</t>
    </r>
    <r>
      <rPr>
        <sz val="10"/>
        <color theme="1"/>
        <rFont val="Mazda Type"/>
      </rPr>
      <t>As of March 31, 2024</t>
    </r>
    <phoneticPr fontId="6"/>
  </si>
  <si>
    <r>
      <rPr>
        <sz val="10"/>
        <color theme="1"/>
        <rFont val="源真ゴシックP Normal"/>
        <family val="3"/>
        <charset val="128"/>
      </rPr>
      <t xml:space="preserve">自動車部品 </t>
    </r>
    <r>
      <rPr>
        <sz val="10"/>
        <color theme="1"/>
        <rFont val="Mazda Type"/>
      </rPr>
      <t>Automotive parts</t>
    </r>
    <phoneticPr fontId="6"/>
  </si>
  <si>
    <r>
      <rPr>
        <sz val="10"/>
        <color theme="1"/>
        <rFont val="源真ゴシックP Normal"/>
        <family val="3"/>
        <charset val="128"/>
      </rPr>
      <t xml:space="preserve">社 </t>
    </r>
    <r>
      <rPr>
        <sz val="10"/>
        <color theme="1"/>
        <rFont val="Mazda Type"/>
      </rPr>
      <t>Companies</t>
    </r>
    <rPh sb="0" eb="1">
      <t>シャ</t>
    </rPh>
    <phoneticPr fontId="6"/>
  </si>
  <si>
    <r>
      <rPr>
        <sz val="10"/>
        <color theme="1"/>
        <rFont val="源真ゴシックP Normal"/>
        <family val="3"/>
        <charset val="128"/>
      </rPr>
      <t xml:space="preserve">資材（素材）など </t>
    </r>
    <r>
      <rPr>
        <sz val="10"/>
        <color theme="1"/>
        <rFont val="Mazda Type"/>
      </rPr>
      <t>Materials, etc.</t>
    </r>
    <phoneticPr fontId="6"/>
  </si>
  <si>
    <r>
      <rPr>
        <sz val="10"/>
        <color theme="1"/>
        <rFont val="源真ゴシックP Normal"/>
        <family val="3"/>
        <charset val="128"/>
      </rPr>
      <t xml:space="preserve">設備・要具 </t>
    </r>
    <r>
      <rPr>
        <sz val="10"/>
        <color theme="1"/>
        <rFont val="Mazda Type"/>
      </rPr>
      <t>Equipment and tools</t>
    </r>
    <phoneticPr fontId="6"/>
  </si>
  <si>
    <r>
      <rPr>
        <sz val="10"/>
        <color theme="1"/>
        <rFont val="源真ゴシックP Normal"/>
        <family val="3"/>
        <charset val="128"/>
      </rPr>
      <t xml:space="preserve">部品お取引先さま </t>
    </r>
    <r>
      <rPr>
        <sz val="10"/>
        <color theme="1"/>
        <rFont val="Mazda Type"/>
      </rPr>
      <t>Parts suppliers</t>
    </r>
    <phoneticPr fontId="6"/>
  </si>
  <si>
    <r>
      <rPr>
        <sz val="10"/>
        <color theme="1"/>
        <rFont val="源真ゴシックP Normal"/>
        <family val="3"/>
        <charset val="128"/>
      </rPr>
      <t xml:space="preserve">洋光会 </t>
    </r>
    <r>
      <rPr>
        <sz val="10"/>
        <color theme="1"/>
        <rFont val="Mazda Type"/>
      </rPr>
      <t>Yokokai</t>
    </r>
    <phoneticPr fontId="6"/>
  </si>
  <si>
    <r>
      <rPr>
        <sz val="10"/>
        <color theme="1"/>
        <rFont val="源真ゴシックP Normal"/>
        <family val="3"/>
        <charset val="128"/>
      </rPr>
      <t xml:space="preserve">資材お取引先さま </t>
    </r>
    <r>
      <rPr>
        <sz val="10"/>
        <color theme="1"/>
        <rFont val="Mazda Type"/>
      </rPr>
      <t>Materials suppliers</t>
    </r>
    <phoneticPr fontId="6"/>
  </si>
  <si>
    <r>
      <rPr>
        <sz val="10"/>
        <color theme="1"/>
        <rFont val="源真ゴシックP Normal"/>
        <family val="3"/>
        <charset val="128"/>
      </rPr>
      <t xml:space="preserve">洋進会 </t>
    </r>
    <r>
      <rPr>
        <sz val="10"/>
        <color theme="1"/>
        <rFont val="Mazda Type"/>
      </rPr>
      <t>Yoshinkai</t>
    </r>
    <phoneticPr fontId="6"/>
  </si>
  <si>
    <r>
      <t xml:space="preserve">* </t>
    </r>
    <r>
      <rPr>
        <sz val="10"/>
        <color theme="1"/>
        <rFont val="源真ゴシックP Normal"/>
        <family val="3"/>
        <charset val="128"/>
      </rPr>
      <t>お取引先さまとの関係強化や共存･共栄を目指して、マツダと一定の取引のあるお取引先さまによって構成された自主運営組織。洋光会、洋進会会員企業からの調達額はマツダの全調達額の約</t>
    </r>
    <r>
      <rPr>
        <sz val="10"/>
        <color theme="1"/>
        <rFont val="Mazda Type"/>
      </rPr>
      <t>9</t>
    </r>
    <r>
      <rPr>
        <sz val="10"/>
        <color theme="1"/>
        <rFont val="源真ゴシックP Normal"/>
        <family val="3"/>
        <charset val="128"/>
      </rPr>
      <t xml:space="preserve">割を占める。
</t>
    </r>
    <r>
      <rPr>
        <sz val="10"/>
        <color theme="1"/>
        <rFont val="Mazda Type"/>
      </rPr>
      <t>*An autonomous management organization, comprising suppliers that have a certain degree of transaction with Mazda, with the purpose of strengthening relationships between Mazda and its suppliers as well as promoting mutual growth and prosperity. The procurement amount from member companies of Yokokai and Yoshinkai accounts for about 90% of the whole.</t>
    </r>
    <phoneticPr fontId="6"/>
  </si>
  <si>
    <r>
      <rPr>
        <sz val="10"/>
        <color theme="1"/>
        <rFont val="源真ゴシックP Normal"/>
        <family val="3"/>
        <charset val="128"/>
      </rPr>
      <t xml:space="preserve">育児休暇 </t>
    </r>
    <r>
      <rPr>
        <sz val="10"/>
        <color theme="1"/>
        <rFont val="Mazda Type"/>
      </rPr>
      <t>Child-rearing leave</t>
    </r>
    <phoneticPr fontId="1"/>
  </si>
  <si>
    <r>
      <rPr>
        <sz val="10"/>
        <color theme="1"/>
        <rFont val="源真ゴシックP Normal"/>
        <family val="3"/>
        <charset val="128"/>
      </rPr>
      <t>育児休職</t>
    </r>
    <r>
      <rPr>
        <sz val="10"/>
        <color theme="1"/>
        <rFont val="Mazda Type"/>
      </rPr>
      <t>*</t>
    </r>
    <r>
      <rPr>
        <vertAlign val="superscript"/>
        <sz val="10"/>
        <color theme="1"/>
        <rFont val="Mazda Type"/>
      </rPr>
      <t>2</t>
    </r>
    <r>
      <rPr>
        <sz val="10"/>
        <color theme="1"/>
        <rFont val="Mazda Type"/>
      </rPr>
      <t xml:space="preserve"> Childcare sabbatical*</t>
    </r>
    <r>
      <rPr>
        <vertAlign val="superscript"/>
        <sz val="10"/>
        <color theme="1"/>
        <rFont val="Mazda Type"/>
      </rPr>
      <t>2</t>
    </r>
    <phoneticPr fontId="1"/>
  </si>
  <si>
    <r>
      <rPr>
        <sz val="10"/>
        <color theme="1"/>
        <rFont val="源真ゴシックP Normal"/>
        <family val="3"/>
        <charset val="128"/>
      </rPr>
      <t>復職</t>
    </r>
    <r>
      <rPr>
        <sz val="10"/>
        <color theme="1"/>
        <rFont val="Mazda Type"/>
      </rPr>
      <t>1</t>
    </r>
    <r>
      <rPr>
        <sz val="10"/>
        <color theme="1"/>
        <rFont val="源真ゴシックP Normal"/>
        <family val="3"/>
        <charset val="128"/>
      </rPr>
      <t xml:space="preserve">年後の在籍率 </t>
    </r>
    <r>
      <rPr>
        <sz val="10"/>
        <color theme="1"/>
        <rFont val="Mazda Type"/>
      </rPr>
      <t>Rate of retention one year after childcare sabbatical</t>
    </r>
    <phoneticPr fontId="6"/>
  </si>
  <si>
    <r>
      <t>2020</t>
    </r>
    <r>
      <rPr>
        <sz val="10"/>
        <color theme="1"/>
        <rFont val="源真ゴシックP Normal"/>
        <family val="3"/>
        <charset val="128"/>
      </rPr>
      <t xml:space="preserve">年度
</t>
    </r>
    <r>
      <rPr>
        <sz val="10"/>
        <color theme="1"/>
        <rFont val="Mazda Type"/>
      </rPr>
      <t>FY March 2021</t>
    </r>
    <rPh sb="4" eb="6">
      <t>ネンド</t>
    </rPh>
    <phoneticPr fontId="1"/>
  </si>
  <si>
    <r>
      <rPr>
        <sz val="10"/>
        <color theme="1"/>
        <rFont val="源真ゴシックP Normal"/>
        <family val="3"/>
        <charset val="128"/>
      </rPr>
      <t xml:space="preserve">円  </t>
    </r>
    <r>
      <rPr>
        <sz val="10"/>
        <color theme="1"/>
        <rFont val="Mazda Type"/>
      </rPr>
      <t>yen</t>
    </r>
    <rPh sb="0" eb="1">
      <t>エン</t>
    </rPh>
    <phoneticPr fontId="6"/>
  </si>
  <si>
    <r>
      <rPr>
        <sz val="10"/>
        <color theme="1"/>
        <rFont val="源真ゴシックP Normal"/>
        <family val="3"/>
        <charset val="128"/>
      </rPr>
      <t>約</t>
    </r>
    <r>
      <rPr>
        <sz val="10"/>
        <color theme="1"/>
        <rFont val="Mazda Type"/>
      </rPr>
      <t xml:space="preserve">90/Around </t>
    </r>
    <phoneticPr fontId="6"/>
  </si>
  <si>
    <r>
      <rPr>
        <sz val="10"/>
        <color theme="1"/>
        <rFont val="源真ゴシックP Normal"/>
        <family val="3"/>
        <charset val="128"/>
      </rPr>
      <t>約</t>
    </r>
    <r>
      <rPr>
        <sz val="10"/>
        <color theme="1"/>
        <rFont val="Mazda Type"/>
      </rPr>
      <t xml:space="preserve">10/Around </t>
    </r>
    <phoneticPr fontId="6"/>
  </si>
  <si>
    <r>
      <t xml:space="preserve">購買お取引先さま企業数 </t>
    </r>
    <r>
      <rPr>
        <b/>
        <sz val="12"/>
        <color theme="1"/>
        <rFont val="Mazda Type"/>
      </rPr>
      <t>Number of Suppliers</t>
    </r>
    <rPh sb="0" eb="2">
      <t>コウバイ</t>
    </rPh>
    <rPh sb="3" eb="5">
      <t>トリヒキ</t>
    </rPh>
    <rPh sb="5" eb="6">
      <t>サキ</t>
    </rPh>
    <rPh sb="8" eb="11">
      <t>キギョウスウ</t>
    </rPh>
    <phoneticPr fontId="1"/>
  </si>
  <si>
    <r>
      <rPr>
        <b/>
        <sz val="12"/>
        <color theme="1"/>
        <rFont val="源真ゴシックP Normal"/>
        <family val="3"/>
        <charset val="128"/>
      </rPr>
      <t>購買協力会組織</t>
    </r>
    <r>
      <rPr>
        <b/>
        <sz val="12"/>
        <color theme="1"/>
        <rFont val="Mazda Type"/>
      </rPr>
      <t xml:space="preserve">* </t>
    </r>
    <r>
      <rPr>
        <b/>
        <sz val="12"/>
        <color theme="1"/>
        <rFont val="Mazda Type"/>
        <family val="3"/>
        <charset val="128"/>
      </rPr>
      <t>Purchasing Cooperative Organizations*</t>
    </r>
    <rPh sb="0" eb="2">
      <t>コウバイ</t>
    </rPh>
    <rPh sb="2" eb="5">
      <t>キョウリョクカイ</t>
    </rPh>
    <rPh sb="5" eb="7">
      <t>ソシキ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</si>
</sst>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
    <numFmt numFmtId="177" formatCode="#,##0.0;[Red]\-#,##0.0"/>
    <numFmt numFmtId="178" formatCode="#,##0,"/>
    <numFmt numFmtId="179" formatCode="#,##0_);[Red]\(#,##0\)"/>
  </numFmts>
  <fonts count="34">
    <font>
      <sz val="11"/>
      <color theme="1"/>
      <name val="游ゴシック"/>
      <family val="2"/>
      <charset val="128"/>
      <scheme val="minor"/>
    </font>
    <font>
      <sz val="6"/>
      <name val="游ゴシック"/>
      <family val="2"/>
      <charset val="128"/>
      <scheme val="minor"/>
    </font>
    <font>
      <sz val="11"/>
      <color theme="1"/>
      <name val="游ゴシック"/>
      <family val="2"/>
      <charset val="128"/>
      <scheme val="minor"/>
    </font>
    <font>
      <u/>
      <sz val="11"/>
      <color theme="10"/>
      <name val="游ゴシック"/>
      <family val="2"/>
      <charset val="128"/>
      <scheme val="minor"/>
    </font>
    <font>
      <sz val="10"/>
      <color theme="1"/>
      <name val="Meiryo UI"/>
      <family val="2"/>
      <charset val="128"/>
    </font>
    <font>
      <u/>
      <sz val="10"/>
      <color theme="10"/>
      <name val="Meiryo UI"/>
      <family val="2"/>
      <charset val="128"/>
    </font>
    <font>
      <sz val="6"/>
      <name val="Meiryo UI"/>
      <family val="2"/>
      <charset val="128"/>
    </font>
    <font>
      <sz val="11"/>
      <color theme="1"/>
      <name val="Mazda Type"/>
    </font>
    <font>
      <b/>
      <sz val="14"/>
      <color theme="1"/>
      <name val="Mazda Type"/>
    </font>
    <font>
      <sz val="10"/>
      <color theme="1"/>
      <name val="Mazda Type"/>
    </font>
    <font>
      <sz val="10"/>
      <color theme="1"/>
      <name val="Mazda Type"/>
      <family val="3"/>
      <charset val="128"/>
    </font>
    <font>
      <b/>
      <sz val="12"/>
      <color theme="1"/>
      <name val="Mazda Type"/>
    </font>
    <font>
      <b/>
      <sz val="12"/>
      <color theme="1"/>
      <name val="Mazda Type"/>
      <family val="3"/>
      <charset val="128"/>
    </font>
    <font>
      <b/>
      <sz val="10"/>
      <color theme="1"/>
      <name val="ＭＳ Ｐゴシック"/>
      <family val="3"/>
      <charset val="128"/>
    </font>
    <font>
      <sz val="6"/>
      <name val="游ゴシック"/>
      <family val="3"/>
      <charset val="128"/>
      <scheme val="minor"/>
    </font>
    <font>
      <sz val="11"/>
      <color theme="1"/>
      <name val="ＭＳ Ｐゴシック"/>
      <family val="3"/>
      <charset val="128"/>
    </font>
    <font>
      <sz val="11"/>
      <color theme="1"/>
      <name val="Meiryo UI"/>
      <family val="3"/>
      <charset val="128"/>
    </font>
    <font>
      <sz val="10"/>
      <color theme="1"/>
      <name val="源真ゴシックP Normal"/>
      <family val="3"/>
      <charset val="128"/>
    </font>
    <font>
      <sz val="10"/>
      <color theme="1"/>
      <name val="ＭＳ Ｐゴシック"/>
      <family val="3"/>
      <charset val="128"/>
    </font>
    <font>
      <b/>
      <sz val="16"/>
      <color theme="1"/>
      <name val="Mazda Type"/>
    </font>
    <font>
      <b/>
      <sz val="16"/>
      <color theme="1"/>
      <name val="源真ゴシックP Normal"/>
      <family val="3"/>
      <charset val="128"/>
    </font>
    <font>
      <b/>
      <sz val="10"/>
      <color theme="1"/>
      <name val="Mazda Type"/>
    </font>
    <font>
      <u/>
      <sz val="11"/>
      <color theme="1"/>
      <name val="Mazda Type"/>
    </font>
    <font>
      <sz val="10"/>
      <color theme="1"/>
      <name val="Segoe UI Symbol"/>
      <family val="3"/>
    </font>
    <font>
      <b/>
      <sz val="12"/>
      <color theme="1"/>
      <name val="源真ゴシックP Normal"/>
      <family val="3"/>
      <charset val="128"/>
    </font>
    <font>
      <vertAlign val="superscript"/>
      <sz val="10"/>
      <color theme="1"/>
      <name val="Mazda Type"/>
    </font>
    <font>
      <sz val="10"/>
      <color theme="1"/>
      <name val="Segoe UI Symbol"/>
      <family val="2"/>
    </font>
    <font>
      <vertAlign val="superscript"/>
      <sz val="10"/>
      <color theme="1"/>
      <name val="Mazda Type"/>
      <family val="3"/>
    </font>
    <font>
      <b/>
      <sz val="12"/>
      <color theme="1"/>
      <name val="Yu Gothic"/>
      <charset val="128"/>
    </font>
    <font>
      <sz val="10"/>
      <color theme="1"/>
      <name val="Mazda Type"/>
      <family val="3"/>
    </font>
    <font>
      <b/>
      <strike/>
      <sz val="14"/>
      <color theme="1"/>
      <name val="Mazda Type"/>
    </font>
    <font>
      <strike/>
      <sz val="11"/>
      <color theme="1"/>
      <name val="Mazda Type"/>
    </font>
    <font>
      <b/>
      <sz val="12"/>
      <color theme="1"/>
      <name val="ＭＳ Ｐゴシック"/>
      <family val="3"/>
      <charset val="128"/>
    </font>
    <font>
      <b/>
      <sz val="12"/>
      <color theme="1"/>
      <name val="Mazda Type"/>
      <family val="3"/>
    </font>
  </fonts>
  <fills count="4">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s>
  <borders count="3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auto="1"/>
      </left>
      <right/>
      <top/>
      <bottom/>
      <diagonal/>
    </border>
    <border>
      <left style="thin">
        <color indexed="64"/>
      </left>
      <right style="thin">
        <color indexed="64"/>
      </right>
      <top style="thin">
        <color indexed="64"/>
      </top>
      <bottom style="hair">
        <color indexed="64"/>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hair">
        <color indexed="64"/>
      </bottom>
      <diagonal/>
    </border>
    <border>
      <left/>
      <right/>
      <top/>
      <bottom style="thin">
        <color indexed="64"/>
      </bottom>
      <diagonal/>
    </border>
    <border>
      <left/>
      <right/>
      <top style="thin">
        <color indexed="64"/>
      </top>
      <bottom style="hair">
        <color indexed="64"/>
      </bottom>
      <diagonal/>
    </border>
    <border>
      <left style="thin">
        <color indexed="64"/>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right/>
      <top style="dotted">
        <color indexed="64"/>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right/>
      <top style="dotted">
        <color indexed="64"/>
      </top>
      <bottom style="thin">
        <color indexed="64"/>
      </bottom>
      <diagonal/>
    </border>
    <border>
      <left/>
      <right/>
      <top style="dotted">
        <color indexed="64"/>
      </top>
      <bottom/>
      <diagonal/>
    </border>
    <border>
      <left/>
      <right style="thin">
        <color indexed="64"/>
      </right>
      <top/>
      <bottom style="dotted">
        <color indexed="64"/>
      </bottom>
      <diagonal/>
    </border>
    <border>
      <left style="thin">
        <color indexed="64"/>
      </left>
      <right style="thin">
        <color indexed="64"/>
      </right>
      <top/>
      <bottom style="dotted">
        <color indexed="64"/>
      </bottom>
      <diagonal/>
    </border>
    <border>
      <left/>
      <right style="thin">
        <color indexed="64"/>
      </right>
      <top style="dotted">
        <color indexed="64"/>
      </top>
      <bottom style="thin">
        <color indexed="64"/>
      </bottom>
      <diagonal/>
    </border>
    <border>
      <left style="thin">
        <color indexed="64"/>
      </left>
      <right style="thin">
        <color indexed="64"/>
      </right>
      <top style="dotted">
        <color indexed="64"/>
      </top>
      <bottom style="thin">
        <color indexed="64"/>
      </bottom>
      <diagonal/>
    </border>
    <border>
      <left style="dotted">
        <color indexed="64"/>
      </left>
      <right style="thin">
        <color indexed="64"/>
      </right>
      <top style="thin">
        <color indexed="64"/>
      </top>
      <bottom style="thin">
        <color indexed="64"/>
      </bottom>
      <diagonal/>
    </border>
  </borders>
  <cellStyleXfs count="6">
    <xf numFmtId="0" fontId="0" fillId="0" borderId="0">
      <alignment vertical="center"/>
    </xf>
    <xf numFmtId="38"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lignment vertical="center"/>
    </xf>
    <xf numFmtId="38" fontId="4" fillId="0" borderId="0" applyFont="0" applyFill="0" applyBorder="0" applyAlignment="0" applyProtection="0">
      <alignment vertical="center"/>
    </xf>
    <xf numFmtId="0" fontId="5" fillId="0" borderId="0" applyNumberFormat="0" applyFill="0" applyBorder="0" applyAlignment="0" applyProtection="0">
      <alignment vertical="center"/>
    </xf>
  </cellStyleXfs>
  <cellXfs count="301">
    <xf numFmtId="0" fontId="0" fillId="0" borderId="0" xfId="0">
      <alignment vertical="center"/>
    </xf>
    <xf numFmtId="0" fontId="7" fillId="0" borderId="0" xfId="0" applyFont="1">
      <alignment vertical="center"/>
    </xf>
    <xf numFmtId="0" fontId="8" fillId="0" borderId="0" xfId="3" applyFont="1">
      <alignment vertical="center"/>
    </xf>
    <xf numFmtId="0" fontId="7" fillId="0" borderId="0" xfId="3" applyFont="1">
      <alignment vertical="center"/>
    </xf>
    <xf numFmtId="38" fontId="7" fillId="0" borderId="0" xfId="4" applyFont="1" applyAlignment="1">
      <alignment horizontal="right" vertical="center"/>
    </xf>
    <xf numFmtId="0" fontId="7" fillId="0" borderId="0" xfId="3" applyFont="1" applyAlignment="1">
      <alignment horizontal="left" vertical="center"/>
    </xf>
    <xf numFmtId="0" fontId="9" fillId="0" borderId="0" xfId="3" applyFont="1">
      <alignment vertical="center"/>
    </xf>
    <xf numFmtId="0" fontId="7" fillId="0" borderId="0" xfId="0" applyFont="1" applyFill="1">
      <alignment vertical="center"/>
    </xf>
    <xf numFmtId="0" fontId="10" fillId="0" borderId="0" xfId="3" applyFont="1" applyFill="1" applyAlignment="1">
      <alignment vertical="top" wrapText="1"/>
    </xf>
    <xf numFmtId="0" fontId="13" fillId="0" borderId="0" xfId="3" applyFont="1" applyFill="1" applyBorder="1" applyAlignment="1">
      <alignment horizontal="left" vertical="center" wrapText="1" readingOrder="1"/>
    </xf>
    <xf numFmtId="0" fontId="7" fillId="0" borderId="0" xfId="3" applyFont="1" applyFill="1">
      <alignment vertical="center"/>
    </xf>
    <xf numFmtId="0" fontId="7" fillId="0" borderId="0" xfId="3" applyFont="1" applyFill="1" applyAlignment="1">
      <alignment horizontal="center" vertical="center"/>
    </xf>
    <xf numFmtId="0" fontId="7" fillId="0" borderId="0" xfId="3" applyFont="1" applyFill="1" applyAlignment="1">
      <alignment horizontal="left" vertical="center"/>
    </xf>
    <xf numFmtId="0" fontId="10" fillId="0" borderId="0" xfId="0" applyFont="1" applyAlignment="1">
      <alignment horizontal="left" vertical="center" wrapText="1"/>
    </xf>
    <xf numFmtId="0" fontId="9" fillId="0" borderId="0" xfId="3" applyFont="1" applyFill="1" applyBorder="1" applyAlignment="1">
      <alignment horizontal="left" vertical="center"/>
    </xf>
    <xf numFmtId="0" fontId="15" fillId="0" borderId="0" xfId="3" applyFont="1" applyFill="1" applyAlignment="1">
      <alignment horizontal="left" vertical="center"/>
    </xf>
    <xf numFmtId="0" fontId="16" fillId="0" borderId="0" xfId="3" applyFont="1" applyFill="1">
      <alignment vertical="center"/>
    </xf>
    <xf numFmtId="0" fontId="11" fillId="0" borderId="0" xfId="0" applyFont="1" applyFill="1" applyAlignment="1">
      <alignment vertical="center" wrapText="1"/>
    </xf>
    <xf numFmtId="0" fontId="12" fillId="0" borderId="0" xfId="0" applyFont="1" applyFill="1" applyAlignment="1">
      <alignment vertical="center"/>
    </xf>
    <xf numFmtId="0" fontId="11" fillId="0" borderId="0" xfId="0" applyFont="1" applyFill="1" applyAlignment="1">
      <alignment vertical="center"/>
    </xf>
    <xf numFmtId="0" fontId="7" fillId="0" borderId="0" xfId="3" applyFont="1" applyAlignment="1">
      <alignment horizontal="left" vertical="top"/>
    </xf>
    <xf numFmtId="0" fontId="9" fillId="0" borderId="0" xfId="3" applyFont="1" applyFill="1" applyAlignment="1">
      <alignment horizontal="left" vertical="top" wrapText="1"/>
    </xf>
    <xf numFmtId="0" fontId="9" fillId="0" borderId="0" xfId="3" applyFont="1" applyAlignment="1">
      <alignment horizontal="left" vertical="top"/>
    </xf>
    <xf numFmtId="38" fontId="7" fillId="0" borderId="0" xfId="4" applyFont="1" applyFill="1" applyAlignment="1">
      <alignment horizontal="left" vertical="top"/>
    </xf>
    <xf numFmtId="38" fontId="7" fillId="0" borderId="0" xfId="4" applyFont="1" applyAlignment="1">
      <alignment horizontal="left" vertical="top"/>
    </xf>
    <xf numFmtId="0" fontId="9" fillId="0" borderId="0" xfId="3" applyFont="1" applyAlignment="1">
      <alignment horizontal="left" vertical="top" wrapText="1" readingOrder="1"/>
    </xf>
    <xf numFmtId="0" fontId="9" fillId="0" borderId="0" xfId="3" applyFont="1" applyFill="1" applyBorder="1" applyAlignment="1">
      <alignment vertical="top" wrapText="1"/>
    </xf>
    <xf numFmtId="0" fontId="10" fillId="0" borderId="0" xfId="0" applyFont="1" applyAlignment="1">
      <alignment vertical="center" wrapText="1"/>
    </xf>
    <xf numFmtId="0" fontId="9" fillId="0" borderId="0" xfId="3" applyFont="1" applyBorder="1" applyAlignment="1">
      <alignment horizontal="left" vertical="top" wrapText="1"/>
    </xf>
    <xf numFmtId="0" fontId="9" fillId="0" borderId="0" xfId="3" applyFont="1" applyAlignment="1">
      <alignment horizontal="left" vertical="top" wrapText="1"/>
    </xf>
    <xf numFmtId="0" fontId="9" fillId="0" borderId="0" xfId="3" applyFont="1" applyBorder="1" applyAlignment="1">
      <alignment horizontal="left" vertical="center" wrapText="1"/>
    </xf>
    <xf numFmtId="0" fontId="19" fillId="0" borderId="0" xfId="0" applyFont="1" applyAlignment="1">
      <alignment vertical="center"/>
    </xf>
    <xf numFmtId="0" fontId="8" fillId="0" borderId="0" xfId="0" applyFont="1" applyAlignment="1">
      <alignment vertical="center"/>
    </xf>
    <xf numFmtId="0" fontId="21" fillId="0" borderId="0" xfId="3" applyFont="1" applyAlignment="1">
      <alignment horizontal="left" vertical="center"/>
    </xf>
    <xf numFmtId="0" fontId="7" fillId="0" borderId="0" xfId="0" applyFont="1" applyAlignment="1">
      <alignment horizontal="right" vertical="center"/>
    </xf>
    <xf numFmtId="0" fontId="22" fillId="0" borderId="0" xfId="2" applyFont="1">
      <alignment vertical="center"/>
    </xf>
    <xf numFmtId="0" fontId="7" fillId="0" borderId="0" xfId="3" applyFont="1" applyAlignment="1">
      <alignment horizontal="center" vertical="center"/>
    </xf>
    <xf numFmtId="0" fontId="9" fillId="0" borderId="0" xfId="3" applyFont="1" applyAlignment="1">
      <alignment horizontal="left" vertical="center"/>
    </xf>
    <xf numFmtId="0" fontId="10" fillId="0" borderId="0" xfId="3" applyFont="1">
      <alignment vertical="center"/>
    </xf>
    <xf numFmtId="0" fontId="10" fillId="0" borderId="0" xfId="0" applyFont="1" applyAlignment="1">
      <alignment vertical="center"/>
    </xf>
    <xf numFmtId="0" fontId="9" fillId="3" borderId="9" xfId="3" applyFont="1" applyFill="1" applyBorder="1" applyAlignment="1">
      <alignment vertical="center" wrapText="1"/>
    </xf>
    <xf numFmtId="0" fontId="10" fillId="3" borderId="2" xfId="3" applyFont="1" applyFill="1" applyBorder="1" applyAlignment="1">
      <alignment horizontal="center" vertical="center" wrapText="1"/>
    </xf>
    <xf numFmtId="38" fontId="9" fillId="3" borderId="5" xfId="1" applyFont="1" applyFill="1" applyBorder="1" applyAlignment="1">
      <alignment horizontal="center" vertical="center" wrapText="1"/>
    </xf>
    <xf numFmtId="38" fontId="9" fillId="0" borderId="5" xfId="4" applyFont="1" applyFill="1" applyBorder="1" applyAlignment="1">
      <alignment horizontal="right" vertical="center"/>
    </xf>
    <xf numFmtId="38" fontId="9" fillId="0" borderId="20" xfId="4" applyFont="1" applyFill="1" applyBorder="1" applyAlignment="1">
      <alignment horizontal="right" vertical="center"/>
    </xf>
    <xf numFmtId="38" fontId="9" fillId="0" borderId="7" xfId="4" applyFont="1" applyFill="1" applyBorder="1" applyAlignment="1">
      <alignment horizontal="right" vertical="center"/>
    </xf>
    <xf numFmtId="177" fontId="9" fillId="0" borderId="5" xfId="4" applyNumberFormat="1" applyFont="1" applyFill="1" applyBorder="1" applyAlignment="1">
      <alignment horizontal="right" vertical="center"/>
    </xf>
    <xf numFmtId="177" fontId="9" fillId="0" borderId="20" xfId="4" applyNumberFormat="1" applyFont="1" applyFill="1" applyBorder="1" applyAlignment="1">
      <alignment horizontal="right" vertical="center"/>
    </xf>
    <xf numFmtId="177" fontId="9" fillId="0" borderId="7" xfId="4" applyNumberFormat="1" applyFont="1" applyFill="1" applyBorder="1" applyAlignment="1">
      <alignment horizontal="right" vertical="center"/>
    </xf>
    <xf numFmtId="0" fontId="10" fillId="0" borderId="2" xfId="3" applyFont="1" applyBorder="1" applyAlignment="1">
      <alignment horizontal="center" vertical="center" wrapText="1" readingOrder="1"/>
    </xf>
    <xf numFmtId="38" fontId="9" fillId="0" borderId="2" xfId="4" applyFont="1" applyFill="1" applyBorder="1" applyAlignment="1">
      <alignment horizontal="right" vertical="center" wrapText="1" readingOrder="1"/>
    </xf>
    <xf numFmtId="38" fontId="9" fillId="0" borderId="2" xfId="4" applyFont="1" applyFill="1" applyBorder="1" applyAlignment="1">
      <alignment horizontal="right" vertical="center"/>
    </xf>
    <xf numFmtId="38" fontId="9" fillId="0" borderId="5" xfId="4" applyFont="1" applyFill="1" applyBorder="1" applyAlignment="1">
      <alignment horizontal="right" vertical="center" wrapText="1" readingOrder="1"/>
    </xf>
    <xf numFmtId="38" fontId="9" fillId="0" borderId="20" xfId="4" applyFont="1" applyFill="1" applyBorder="1" applyAlignment="1">
      <alignment horizontal="right" vertical="center" wrapText="1" readingOrder="1"/>
    </xf>
    <xf numFmtId="38" fontId="9" fillId="0" borderId="7" xfId="4" applyFont="1" applyFill="1" applyBorder="1" applyAlignment="1">
      <alignment horizontal="right" vertical="center" wrapText="1" readingOrder="1"/>
    </xf>
    <xf numFmtId="0" fontId="9" fillId="0" borderId="6" xfId="3" applyFont="1" applyBorder="1" applyAlignment="1">
      <alignment horizontal="center" vertical="center" wrapText="1" readingOrder="1"/>
    </xf>
    <xf numFmtId="177" fontId="9" fillId="0" borderId="2" xfId="4" applyNumberFormat="1" applyFont="1" applyFill="1" applyBorder="1" applyAlignment="1">
      <alignment horizontal="right" vertical="center" wrapText="1" readingOrder="1"/>
    </xf>
    <xf numFmtId="38" fontId="9" fillId="0" borderId="18" xfId="4" applyFont="1" applyFill="1" applyBorder="1" applyAlignment="1">
      <alignment horizontal="right" vertical="center" wrapText="1" readingOrder="1"/>
    </xf>
    <xf numFmtId="38" fontId="9" fillId="0" borderId="18" xfId="4" applyFont="1" applyFill="1" applyBorder="1" applyAlignment="1">
      <alignment horizontal="right" vertical="center"/>
    </xf>
    <xf numFmtId="177" fontId="9" fillId="0" borderId="18" xfId="4" applyNumberFormat="1" applyFont="1" applyFill="1" applyBorder="1" applyAlignment="1">
      <alignment horizontal="right" vertical="center" wrapText="1" readingOrder="1"/>
    </xf>
    <xf numFmtId="177" fontId="9" fillId="0" borderId="18" xfId="4" applyNumberFormat="1" applyFont="1" applyFill="1" applyBorder="1" applyAlignment="1">
      <alignment horizontal="right" vertical="center"/>
    </xf>
    <xf numFmtId="177" fontId="9" fillId="0" borderId="7" xfId="4" applyNumberFormat="1" applyFont="1" applyFill="1" applyBorder="1" applyAlignment="1">
      <alignment horizontal="right" vertical="center" wrapText="1" readingOrder="1"/>
    </xf>
    <xf numFmtId="177" fontId="9" fillId="0" borderId="2" xfId="4" applyNumberFormat="1" applyFont="1" applyFill="1" applyBorder="1" applyAlignment="1">
      <alignment horizontal="right" vertical="center"/>
    </xf>
    <xf numFmtId="0" fontId="9" fillId="0" borderId="5" xfId="3" applyFont="1" applyBorder="1" applyAlignment="1">
      <alignment horizontal="center" vertical="center" wrapText="1" readingOrder="1"/>
    </xf>
    <xf numFmtId="40" fontId="9" fillId="0" borderId="11" xfId="4" applyNumberFormat="1" applyFont="1" applyFill="1" applyBorder="1" applyAlignment="1">
      <alignment horizontal="right" vertical="center" wrapText="1" readingOrder="1"/>
    </xf>
    <xf numFmtId="40" fontId="9" fillId="0" borderId="11" xfId="4" applyNumberFormat="1" applyFont="1" applyFill="1" applyBorder="1" applyAlignment="1">
      <alignment horizontal="right" vertical="center"/>
    </xf>
    <xf numFmtId="0" fontId="9" fillId="0" borderId="2" xfId="3" applyFont="1" applyBorder="1" applyAlignment="1">
      <alignment horizontal="center" vertical="center" wrapText="1" readingOrder="1"/>
    </xf>
    <xf numFmtId="0" fontId="9" fillId="0" borderId="0" xfId="3" applyFont="1" applyBorder="1" applyAlignment="1">
      <alignment horizontal="center" vertical="center" wrapText="1" readingOrder="1"/>
    </xf>
    <xf numFmtId="38" fontId="9" fillId="0" borderId="0" xfId="4" applyFont="1" applyFill="1" applyBorder="1" applyAlignment="1">
      <alignment horizontal="right" vertical="center" wrapText="1" readingOrder="1"/>
    </xf>
    <xf numFmtId="38" fontId="9" fillId="0" borderId="0" xfId="4" applyFont="1" applyFill="1" applyBorder="1" applyAlignment="1">
      <alignment horizontal="right" vertical="center"/>
    </xf>
    <xf numFmtId="0" fontId="9" fillId="0" borderId="0" xfId="3" applyFont="1" applyBorder="1" applyAlignment="1">
      <alignment horizontal="left" vertical="center"/>
    </xf>
    <xf numFmtId="0" fontId="10" fillId="0" borderId="0" xfId="3" applyFont="1" applyAlignment="1">
      <alignment horizontal="left" vertical="center" wrapText="1" readingOrder="1"/>
    </xf>
    <xf numFmtId="0" fontId="7" fillId="0" borderId="0" xfId="3" applyFont="1" applyAlignment="1">
      <alignment horizontal="left" vertical="center" readingOrder="1"/>
    </xf>
    <xf numFmtId="0" fontId="7" fillId="0" borderId="0" xfId="3" applyFont="1" applyAlignment="1">
      <alignment horizontal="center" vertical="center" wrapText="1" readingOrder="1"/>
    </xf>
    <xf numFmtId="38" fontId="7" fillId="0" borderId="0" xfId="4" applyFont="1" applyBorder="1" applyAlignment="1">
      <alignment horizontal="right" vertical="center" wrapText="1" readingOrder="1"/>
    </xf>
    <xf numFmtId="0" fontId="12" fillId="0" borderId="0" xfId="0" applyFont="1" applyFill="1" applyAlignment="1">
      <alignment vertical="center" wrapText="1"/>
    </xf>
    <xf numFmtId="0" fontId="9" fillId="3" borderId="2" xfId="3" applyFont="1" applyFill="1" applyBorder="1" applyAlignment="1">
      <alignment horizontal="center" vertical="center" wrapText="1"/>
    </xf>
    <xf numFmtId="0" fontId="10" fillId="0" borderId="2" xfId="3" applyFont="1" applyBorder="1" applyAlignment="1">
      <alignment horizontal="center" vertical="center" wrapText="1"/>
    </xf>
    <xf numFmtId="0" fontId="9" fillId="0" borderId="0" xfId="3" applyFont="1" applyAlignment="1">
      <alignment vertical="center"/>
    </xf>
    <xf numFmtId="0" fontId="9" fillId="0" borderId="0" xfId="3" applyFont="1" applyAlignment="1">
      <alignment horizontal="center" vertical="center"/>
    </xf>
    <xf numFmtId="3" fontId="9" fillId="0" borderId="0" xfId="3" applyNumberFormat="1" applyFont="1">
      <alignment vertical="center"/>
    </xf>
    <xf numFmtId="0" fontId="9" fillId="0" borderId="2" xfId="3" applyFont="1" applyFill="1" applyBorder="1">
      <alignment vertical="center"/>
    </xf>
    <xf numFmtId="0" fontId="10" fillId="0" borderId="0" xfId="3" applyFont="1" applyBorder="1" applyAlignment="1">
      <alignment horizontal="left" vertical="center" wrapText="1"/>
    </xf>
    <xf numFmtId="0" fontId="9" fillId="0" borderId="0" xfId="3" applyFont="1" applyBorder="1" applyAlignment="1">
      <alignment horizontal="center" vertical="center"/>
    </xf>
    <xf numFmtId="0" fontId="9" fillId="0" borderId="0" xfId="3" applyFont="1" applyFill="1" applyBorder="1">
      <alignment vertical="center"/>
    </xf>
    <xf numFmtId="38" fontId="7" fillId="0" borderId="0" xfId="4" applyFont="1" applyFill="1" applyBorder="1" applyAlignment="1">
      <alignment horizontal="right" vertical="center" wrapText="1" readingOrder="1"/>
    </xf>
    <xf numFmtId="0" fontId="10" fillId="3" borderId="3" xfId="3" applyFont="1" applyFill="1" applyBorder="1" applyAlignment="1">
      <alignment horizontal="center" vertical="center" wrapText="1"/>
    </xf>
    <xf numFmtId="38" fontId="10" fillId="3" borderId="30" xfId="4" applyFont="1" applyFill="1" applyBorder="1" applyAlignment="1">
      <alignment horizontal="center" vertical="center" wrapText="1" readingOrder="1"/>
    </xf>
    <xf numFmtId="0" fontId="10" fillId="0" borderId="1" xfId="3" applyFont="1" applyBorder="1" applyAlignment="1">
      <alignment horizontal="left" vertical="center" wrapText="1"/>
    </xf>
    <xf numFmtId="178" fontId="9" fillId="0" borderId="1" xfId="3" applyNumberFormat="1" applyFont="1" applyFill="1" applyBorder="1" applyAlignment="1">
      <alignment horizontal="right" vertical="center" shrinkToFit="1"/>
    </xf>
    <xf numFmtId="178" fontId="9" fillId="0" borderId="30" xfId="3" applyNumberFormat="1" applyFont="1" applyFill="1" applyBorder="1" applyAlignment="1">
      <alignment horizontal="right" vertical="center" shrinkToFit="1"/>
    </xf>
    <xf numFmtId="38" fontId="9" fillId="0" borderId="1" xfId="3" applyNumberFormat="1" applyFont="1" applyFill="1" applyBorder="1" applyAlignment="1">
      <alignment horizontal="right" vertical="center" wrapText="1"/>
    </xf>
    <xf numFmtId="38" fontId="9" fillId="0" borderId="30" xfId="3" applyNumberFormat="1" applyFont="1" applyFill="1" applyBorder="1" applyAlignment="1">
      <alignment horizontal="right" vertical="center" wrapText="1"/>
    </xf>
    <xf numFmtId="38" fontId="9" fillId="0" borderId="1" xfId="4" applyFont="1" applyFill="1" applyBorder="1" applyAlignment="1">
      <alignment horizontal="right" vertical="center" wrapText="1" readingOrder="1"/>
    </xf>
    <xf numFmtId="38" fontId="9" fillId="0" borderId="30" xfId="4" applyFont="1" applyFill="1" applyBorder="1" applyAlignment="1">
      <alignment horizontal="right" vertical="center" wrapText="1" readingOrder="1"/>
    </xf>
    <xf numFmtId="178" fontId="9" fillId="0" borderId="1" xfId="4" applyNumberFormat="1" applyFont="1" applyFill="1" applyBorder="1" applyAlignment="1">
      <alignment horizontal="right" vertical="center"/>
    </xf>
    <xf numFmtId="178" fontId="9" fillId="0" borderId="30" xfId="4" applyNumberFormat="1" applyFont="1" applyFill="1" applyBorder="1" applyAlignment="1">
      <alignment horizontal="right" vertical="center"/>
    </xf>
    <xf numFmtId="0" fontId="10" fillId="0" borderId="1" xfId="3" applyFont="1" applyBorder="1" applyAlignment="1">
      <alignment vertical="center" wrapText="1"/>
    </xf>
    <xf numFmtId="0" fontId="9" fillId="0" borderId="2" xfId="3" applyFont="1" applyBorder="1" applyAlignment="1">
      <alignment horizontal="center" vertical="center"/>
    </xf>
    <xf numFmtId="0" fontId="30" fillId="0" borderId="0" xfId="3" applyFont="1" applyAlignment="1">
      <alignment horizontal="left" vertical="center" readingOrder="1"/>
    </xf>
    <xf numFmtId="0" fontId="31" fillId="0" borderId="0" xfId="3" applyFont="1" applyAlignment="1">
      <alignment horizontal="left" vertical="center" wrapText="1" readingOrder="1"/>
    </xf>
    <xf numFmtId="0" fontId="31" fillId="0" borderId="0" xfId="3" applyFont="1" applyFill="1" applyAlignment="1">
      <alignment horizontal="center" vertical="center" wrapText="1" readingOrder="1"/>
    </xf>
    <xf numFmtId="38" fontId="31" fillId="0" borderId="0" xfId="4" applyFont="1" applyBorder="1" applyAlignment="1">
      <alignment horizontal="right" vertical="center" wrapText="1" readingOrder="1"/>
    </xf>
    <xf numFmtId="0" fontId="9" fillId="3" borderId="2" xfId="3" applyFont="1" applyFill="1" applyBorder="1" applyAlignment="1">
      <alignment horizontal="center" vertical="center" wrapText="1" readingOrder="1"/>
    </xf>
    <xf numFmtId="0" fontId="9" fillId="0" borderId="5" xfId="3" applyFont="1" applyFill="1" applyBorder="1" applyAlignment="1">
      <alignment horizontal="center" vertical="center" wrapText="1" readingOrder="1"/>
    </xf>
    <xf numFmtId="0" fontId="10" fillId="0" borderId="5" xfId="3" applyFont="1" applyFill="1" applyBorder="1" applyAlignment="1">
      <alignment horizontal="center" vertical="center" wrapText="1" readingOrder="1"/>
    </xf>
    <xf numFmtId="38" fontId="9" fillId="0" borderId="2" xfId="4" applyFont="1" applyFill="1" applyBorder="1" applyAlignment="1">
      <alignment horizontal="center" vertical="center" wrapText="1" readingOrder="1"/>
    </xf>
    <xf numFmtId="177" fontId="9" fillId="0" borderId="5" xfId="4" applyNumberFormat="1" applyFont="1" applyFill="1" applyBorder="1" applyAlignment="1">
      <alignment horizontal="right" vertical="center" wrapText="1" readingOrder="1"/>
    </xf>
    <xf numFmtId="176" fontId="9" fillId="0" borderId="5" xfId="4" applyNumberFormat="1" applyFont="1" applyFill="1" applyBorder="1" applyAlignment="1">
      <alignment horizontal="right" vertical="center"/>
    </xf>
    <xf numFmtId="177" fontId="9" fillId="0" borderId="29" xfId="4" applyNumberFormat="1" applyFont="1" applyFill="1" applyBorder="1" applyAlignment="1">
      <alignment horizontal="right" vertical="center" wrapText="1" readingOrder="1"/>
    </xf>
    <xf numFmtId="38" fontId="9" fillId="0" borderId="6" xfId="4" applyFont="1" applyFill="1" applyBorder="1" applyAlignment="1">
      <alignment horizontal="right" vertical="center" wrapText="1" readingOrder="1"/>
    </xf>
    <xf numFmtId="38" fontId="9" fillId="0" borderId="6" xfId="4" applyFont="1" applyFill="1" applyBorder="1" applyAlignment="1">
      <alignment horizontal="right" vertical="center"/>
    </xf>
    <xf numFmtId="0" fontId="10" fillId="0" borderId="25" xfId="3" applyFont="1" applyBorder="1" applyAlignment="1">
      <alignment vertical="center"/>
    </xf>
    <xf numFmtId="0" fontId="10" fillId="0" borderId="21" xfId="3" applyFont="1" applyBorder="1" applyAlignment="1">
      <alignment vertical="center"/>
    </xf>
    <xf numFmtId="0" fontId="10" fillId="0" borderId="16" xfId="3" applyFont="1" applyBorder="1" applyAlignment="1">
      <alignment vertical="center"/>
    </xf>
    <xf numFmtId="0" fontId="10" fillId="0" borderId="0" xfId="3" applyFont="1" applyBorder="1" applyAlignment="1">
      <alignment vertical="center"/>
    </xf>
    <xf numFmtId="0" fontId="10" fillId="0" borderId="26" xfId="3" applyFont="1" applyBorder="1" applyAlignment="1">
      <alignment vertical="center"/>
    </xf>
    <xf numFmtId="38" fontId="9" fillId="0" borderId="27" xfId="4" applyFont="1" applyFill="1" applyBorder="1" applyAlignment="1">
      <alignment horizontal="right" vertical="center"/>
    </xf>
    <xf numFmtId="0" fontId="10" fillId="0" borderId="18" xfId="3" applyFont="1" applyFill="1" applyBorder="1" applyAlignment="1">
      <alignment horizontal="center" vertical="center" wrapText="1" readingOrder="1"/>
    </xf>
    <xf numFmtId="0" fontId="10" fillId="0" borderId="7" xfId="3" applyFont="1" applyFill="1" applyBorder="1" applyAlignment="1">
      <alignment horizontal="center" vertical="center" wrapText="1" readingOrder="1"/>
    </xf>
    <xf numFmtId="0" fontId="9" fillId="0" borderId="18" xfId="3" applyFont="1" applyFill="1" applyBorder="1" applyAlignment="1">
      <alignment horizontal="center" vertical="center" wrapText="1" readingOrder="1"/>
    </xf>
    <xf numFmtId="0" fontId="10" fillId="0" borderId="2" xfId="3" applyFont="1" applyFill="1" applyBorder="1" applyAlignment="1">
      <alignment horizontal="center" vertical="center" wrapText="1"/>
    </xf>
    <xf numFmtId="177" fontId="7" fillId="0" borderId="2" xfId="4" applyNumberFormat="1" applyFont="1" applyFill="1" applyBorder="1" applyAlignment="1">
      <alignment horizontal="right" vertical="center"/>
    </xf>
    <xf numFmtId="38" fontId="7" fillId="0" borderId="2" xfId="4" applyFont="1" applyFill="1" applyBorder="1" applyAlignment="1">
      <alignment vertical="center"/>
    </xf>
    <xf numFmtId="0" fontId="24" fillId="0" borderId="0" xfId="0" applyFont="1" applyFill="1" applyAlignment="1">
      <alignment vertical="center"/>
    </xf>
    <xf numFmtId="40" fontId="9" fillId="0" borderId="2" xfId="4" quotePrefix="1" applyNumberFormat="1" applyFont="1" applyBorder="1" applyAlignment="1">
      <alignment vertical="center"/>
    </xf>
    <xf numFmtId="0" fontId="9" fillId="0" borderId="2" xfId="3" applyFont="1" applyBorder="1" applyAlignment="1">
      <alignment vertical="center"/>
    </xf>
    <xf numFmtId="2" fontId="9" fillId="0" borderId="2" xfId="3" applyNumberFormat="1" applyFont="1" applyFill="1" applyBorder="1" applyAlignment="1">
      <alignment vertical="center"/>
    </xf>
    <xf numFmtId="0" fontId="9" fillId="0" borderId="2" xfId="3" applyFont="1" applyFill="1" applyBorder="1" applyAlignment="1">
      <alignment horizontal="right" vertical="center"/>
    </xf>
    <xf numFmtId="38" fontId="7" fillId="0" borderId="2" xfId="4" quotePrefix="1" applyFont="1" applyBorder="1" applyAlignment="1">
      <alignment horizontal="right" vertical="center"/>
    </xf>
    <xf numFmtId="0" fontId="9" fillId="0" borderId="2" xfId="3" applyFont="1" applyBorder="1" applyAlignment="1">
      <alignment horizontal="right" vertical="center"/>
    </xf>
    <xf numFmtId="0" fontId="9" fillId="3" borderId="1" xfId="3" applyFont="1" applyFill="1" applyBorder="1">
      <alignment vertical="center"/>
    </xf>
    <xf numFmtId="0" fontId="9" fillId="3" borderId="4" xfId="3" applyFont="1" applyFill="1" applyBorder="1" applyAlignment="1">
      <alignment vertical="center"/>
    </xf>
    <xf numFmtId="0" fontId="10" fillId="3" borderId="2" xfId="3" applyFont="1" applyFill="1" applyBorder="1" applyAlignment="1">
      <alignment horizontal="center" vertical="center" wrapText="1" readingOrder="1"/>
    </xf>
    <xf numFmtId="0" fontId="17" fillId="0" borderId="2" xfId="3" applyFont="1" applyBorder="1" applyAlignment="1">
      <alignment vertical="center" wrapText="1"/>
    </xf>
    <xf numFmtId="0" fontId="10" fillId="0" borderId="2" xfId="3" applyFont="1" applyBorder="1" applyAlignment="1">
      <alignment horizontal="center" vertical="center"/>
    </xf>
    <xf numFmtId="0" fontId="9" fillId="0" borderId="2" xfId="3" applyFont="1" applyBorder="1" applyAlignment="1">
      <alignment vertical="center" wrapText="1"/>
    </xf>
    <xf numFmtId="0" fontId="9" fillId="0" borderId="2" xfId="3" applyFont="1" applyBorder="1" applyAlignment="1">
      <alignment horizontal="right" vertical="center" wrapText="1"/>
    </xf>
    <xf numFmtId="38" fontId="9" fillId="0" borderId="2" xfId="4" applyFont="1" applyBorder="1" applyAlignment="1">
      <alignment horizontal="right" vertical="center"/>
    </xf>
    <xf numFmtId="38" fontId="9" fillId="0" borderId="0" xfId="4" applyFont="1" applyAlignment="1">
      <alignment horizontal="right" vertical="center"/>
    </xf>
    <xf numFmtId="179" fontId="7" fillId="0" borderId="5" xfId="4" applyNumberFormat="1" applyFont="1" applyFill="1" applyBorder="1" applyAlignment="1">
      <alignment horizontal="right" vertical="center" wrapText="1" readingOrder="1"/>
    </xf>
    <xf numFmtId="179" fontId="7" fillId="0" borderId="2" xfId="4" applyNumberFormat="1" applyFont="1" applyFill="1" applyBorder="1" applyAlignment="1">
      <alignment horizontal="right" vertical="center"/>
    </xf>
    <xf numFmtId="38" fontId="7" fillId="0" borderId="0" xfId="4" applyFont="1" applyBorder="1" applyAlignment="1">
      <alignment horizontal="right" vertical="center"/>
    </xf>
    <xf numFmtId="38" fontId="9" fillId="0" borderId="0" xfId="4" applyFont="1" applyBorder="1" applyAlignment="1">
      <alignment horizontal="right" vertical="center"/>
    </xf>
    <xf numFmtId="0" fontId="9" fillId="2" borderId="1" xfId="3" applyFont="1" applyFill="1" applyBorder="1" applyAlignment="1">
      <alignment horizontal="center" vertical="center" wrapText="1"/>
    </xf>
    <xf numFmtId="0" fontId="9" fillId="2" borderId="4" xfId="3" applyFont="1" applyFill="1" applyBorder="1" applyAlignment="1">
      <alignment horizontal="center" vertical="center" wrapText="1" readingOrder="1"/>
    </xf>
    <xf numFmtId="0" fontId="9" fillId="0" borderId="2" xfId="3" applyFont="1" applyBorder="1" applyAlignment="1">
      <alignment horizontal="left" vertical="center" wrapText="1"/>
    </xf>
    <xf numFmtId="0" fontId="10" fillId="0" borderId="2" xfId="3" applyFont="1" applyBorder="1" applyAlignment="1">
      <alignment horizontal="left" vertical="center" wrapText="1"/>
    </xf>
    <xf numFmtId="38" fontId="9" fillId="2" borderId="5" xfId="4" applyFont="1" applyFill="1" applyBorder="1" applyAlignment="1">
      <alignment horizontal="center" vertical="center" wrapText="1"/>
    </xf>
    <xf numFmtId="0" fontId="10" fillId="0" borderId="2" xfId="3" applyFont="1" applyFill="1" applyBorder="1" applyAlignment="1">
      <alignment horizontal="right" vertical="center" wrapText="1"/>
    </xf>
    <xf numFmtId="0" fontId="9" fillId="2" borderId="2" xfId="3" applyFont="1" applyFill="1" applyBorder="1" applyAlignment="1">
      <alignment horizontal="center" vertical="center" wrapText="1" readingOrder="1"/>
    </xf>
    <xf numFmtId="38" fontId="9" fillId="2" borderId="5" xfId="4" applyFont="1" applyFill="1" applyBorder="1" applyAlignment="1">
      <alignment horizontal="center" vertical="center" wrapText="1" readingOrder="1"/>
    </xf>
    <xf numFmtId="0" fontId="9" fillId="0" borderId="0" xfId="3" applyFont="1" applyAlignment="1">
      <alignment vertical="center" wrapText="1"/>
    </xf>
    <xf numFmtId="0" fontId="10" fillId="0" borderId="5" xfId="3" applyFont="1" applyFill="1" applyBorder="1" applyAlignment="1">
      <alignment horizontal="center" vertical="center" wrapText="1"/>
    </xf>
    <xf numFmtId="0" fontId="9" fillId="0" borderId="7" xfId="3" applyFont="1" applyFill="1" applyBorder="1" applyAlignment="1">
      <alignment horizontal="center" vertical="center"/>
    </xf>
    <xf numFmtId="0" fontId="10" fillId="0" borderId="5" xfId="3" applyFont="1" applyBorder="1" applyAlignment="1">
      <alignment horizontal="center" vertical="center" wrapText="1"/>
    </xf>
    <xf numFmtId="0" fontId="9" fillId="0" borderId="6" xfId="3" applyFont="1" applyBorder="1" applyAlignment="1">
      <alignment horizontal="center" vertical="center"/>
    </xf>
    <xf numFmtId="0" fontId="9" fillId="0" borderId="7" xfId="3" applyFont="1" applyBorder="1" applyAlignment="1">
      <alignment horizontal="center" vertical="center"/>
    </xf>
    <xf numFmtId="0" fontId="9" fillId="2" borderId="1" xfId="3" applyFont="1" applyFill="1" applyBorder="1" applyAlignment="1">
      <alignment horizontal="center" vertical="center" wrapText="1"/>
    </xf>
    <xf numFmtId="0" fontId="9" fillId="2" borderId="3" xfId="3" applyFont="1" applyFill="1" applyBorder="1" applyAlignment="1">
      <alignment horizontal="center" vertical="center" wrapText="1"/>
    </xf>
    <xf numFmtId="0" fontId="9" fillId="2" borderId="4" xfId="3" applyFont="1" applyFill="1" applyBorder="1" applyAlignment="1">
      <alignment horizontal="center" vertical="center" wrapText="1"/>
    </xf>
    <xf numFmtId="0" fontId="9" fillId="0" borderId="1" xfId="3" applyFont="1" applyBorder="1" applyAlignment="1">
      <alignment horizontal="left" vertical="center" wrapText="1" readingOrder="1"/>
    </xf>
    <xf numFmtId="0" fontId="9" fillId="0" borderId="3" xfId="3" applyFont="1" applyBorder="1" applyAlignment="1">
      <alignment horizontal="left" vertical="center" wrapText="1" readingOrder="1"/>
    </xf>
    <xf numFmtId="0" fontId="9" fillId="0" borderId="4" xfId="3" applyFont="1" applyBorder="1" applyAlignment="1">
      <alignment horizontal="left" vertical="center" wrapText="1" readingOrder="1"/>
    </xf>
    <xf numFmtId="0" fontId="10" fillId="0" borderId="5" xfId="3" applyFont="1" applyBorder="1" applyAlignment="1">
      <alignment horizontal="left" vertical="center" wrapText="1"/>
    </xf>
    <xf numFmtId="0" fontId="9" fillId="0" borderId="7" xfId="3" applyFont="1" applyBorder="1" applyAlignment="1">
      <alignment horizontal="left" vertical="center" wrapText="1"/>
    </xf>
    <xf numFmtId="0" fontId="9" fillId="0" borderId="2" xfId="3" applyFont="1" applyBorder="1" applyAlignment="1">
      <alignment horizontal="left" vertical="center" wrapText="1"/>
    </xf>
    <xf numFmtId="0" fontId="9" fillId="0" borderId="2" xfId="3" applyFont="1" applyBorder="1" applyAlignment="1">
      <alignment horizontal="left" vertical="center"/>
    </xf>
    <xf numFmtId="0" fontId="10" fillId="0" borderId="2" xfId="3" applyFont="1" applyBorder="1" applyAlignment="1">
      <alignment horizontal="left" vertical="center" wrapText="1" readingOrder="1"/>
    </xf>
    <xf numFmtId="0" fontId="9" fillId="0" borderId="2" xfId="3" applyFont="1" applyBorder="1" applyAlignment="1">
      <alignment horizontal="left" vertical="center" wrapText="1" readingOrder="1"/>
    </xf>
    <xf numFmtId="0" fontId="9" fillId="0" borderId="1" xfId="3" applyFont="1" applyBorder="1" applyAlignment="1">
      <alignment horizontal="left" vertical="center" wrapText="1"/>
    </xf>
    <xf numFmtId="0" fontId="9" fillId="0" borderId="3" xfId="3" applyFont="1" applyBorder="1" applyAlignment="1">
      <alignment horizontal="left" vertical="center" wrapText="1"/>
    </xf>
    <xf numFmtId="0" fontId="9" fillId="0" borderId="4" xfId="3" applyFont="1" applyBorder="1" applyAlignment="1">
      <alignment horizontal="left" vertical="center" wrapText="1"/>
    </xf>
    <xf numFmtId="0" fontId="10" fillId="0" borderId="2" xfId="3" applyFont="1" applyBorder="1" applyAlignment="1">
      <alignment horizontal="left" vertical="center" wrapText="1"/>
    </xf>
    <xf numFmtId="0" fontId="9" fillId="0" borderId="5" xfId="3" applyFont="1" applyBorder="1" applyAlignment="1">
      <alignment horizontal="center" vertical="center"/>
    </xf>
    <xf numFmtId="0" fontId="10" fillId="0" borderId="5" xfId="3" applyFont="1" applyBorder="1" applyAlignment="1">
      <alignment horizontal="left" vertical="center" wrapText="1" readingOrder="1"/>
    </xf>
    <xf numFmtId="0" fontId="9" fillId="0" borderId="6" xfId="3" applyFont="1" applyBorder="1" applyAlignment="1">
      <alignment horizontal="left" vertical="center" readingOrder="1"/>
    </xf>
    <xf numFmtId="0" fontId="9" fillId="0" borderId="7" xfId="3" applyFont="1" applyBorder="1" applyAlignment="1">
      <alignment horizontal="left" vertical="center" readingOrder="1"/>
    </xf>
    <xf numFmtId="0" fontId="10" fillId="0" borderId="5" xfId="3" applyFont="1" applyBorder="1" applyAlignment="1">
      <alignment horizontal="center" vertical="center" wrapText="1" readingOrder="1"/>
    </xf>
    <xf numFmtId="0" fontId="7" fillId="0" borderId="6" xfId="3" applyFont="1" applyBorder="1" applyAlignment="1">
      <alignment horizontal="center" vertical="center" wrapText="1" readingOrder="1"/>
    </xf>
    <xf numFmtId="0" fontId="7" fillId="0" borderId="7" xfId="3" applyFont="1" applyBorder="1" applyAlignment="1">
      <alignment horizontal="center" vertical="center" wrapText="1" readingOrder="1"/>
    </xf>
    <xf numFmtId="0" fontId="7" fillId="3" borderId="2" xfId="3" applyFont="1" applyFill="1" applyBorder="1" applyAlignment="1">
      <alignment horizontal="left" vertical="center"/>
    </xf>
    <xf numFmtId="0" fontId="9" fillId="0" borderId="6" xfId="3" applyFont="1" applyFill="1" applyBorder="1" applyAlignment="1">
      <alignment horizontal="center" vertical="center" wrapText="1" readingOrder="1"/>
    </xf>
    <xf numFmtId="0" fontId="9" fillId="0" borderId="7" xfId="3" applyFont="1" applyFill="1" applyBorder="1" applyAlignment="1">
      <alignment horizontal="center" vertical="center" wrapText="1" readingOrder="1"/>
    </xf>
    <xf numFmtId="0" fontId="10" fillId="0" borderId="5" xfId="3" applyFont="1" applyFill="1" applyBorder="1" applyAlignment="1">
      <alignment horizontal="center" vertical="center" wrapText="1" readingOrder="1"/>
    </xf>
    <xf numFmtId="0" fontId="10" fillId="3" borderId="2" xfId="3" applyFont="1" applyFill="1" applyBorder="1" applyAlignment="1">
      <alignment horizontal="center" vertical="center" wrapText="1"/>
    </xf>
    <xf numFmtId="0" fontId="9" fillId="3" borderId="2" xfId="3" applyFont="1" applyFill="1" applyBorder="1" applyAlignment="1">
      <alignment horizontal="center" vertical="center" wrapText="1"/>
    </xf>
    <xf numFmtId="0" fontId="10" fillId="3" borderId="3" xfId="3" applyFont="1" applyFill="1" applyBorder="1" applyAlignment="1">
      <alignment horizontal="center" vertical="center" wrapText="1"/>
    </xf>
    <xf numFmtId="0" fontId="9" fillId="3" borderId="4" xfId="3" applyFont="1" applyFill="1" applyBorder="1" applyAlignment="1">
      <alignment horizontal="center" vertical="center"/>
    </xf>
    <xf numFmtId="38" fontId="10" fillId="3" borderId="1" xfId="4" applyFont="1" applyFill="1" applyBorder="1" applyAlignment="1">
      <alignment horizontal="center" vertical="center" wrapText="1"/>
    </xf>
    <xf numFmtId="38" fontId="9" fillId="3" borderId="4" xfId="4" applyFont="1" applyFill="1" applyBorder="1" applyAlignment="1">
      <alignment horizontal="center" vertical="center"/>
    </xf>
    <xf numFmtId="0" fontId="10" fillId="0" borderId="3" xfId="3" applyFont="1" applyBorder="1" applyAlignment="1">
      <alignment horizontal="left" vertical="center" readingOrder="1"/>
    </xf>
    <xf numFmtId="0" fontId="10" fillId="0" borderId="4" xfId="3" applyFont="1" applyBorder="1" applyAlignment="1">
      <alignment horizontal="left" vertical="center" readingOrder="1"/>
    </xf>
    <xf numFmtId="0" fontId="9" fillId="3" borderId="3" xfId="3" applyFont="1" applyFill="1" applyBorder="1" applyAlignment="1">
      <alignment horizontal="left" vertical="center" readingOrder="1"/>
    </xf>
    <xf numFmtId="0" fontId="9" fillId="3" borderId="4" xfId="3" applyFont="1" applyFill="1" applyBorder="1" applyAlignment="1">
      <alignment horizontal="left" vertical="center" readingOrder="1"/>
    </xf>
    <xf numFmtId="0" fontId="10" fillId="0" borderId="16" xfId="3" applyFont="1" applyBorder="1" applyAlignment="1">
      <alignment horizontal="left" vertical="center"/>
    </xf>
    <xf numFmtId="0" fontId="10" fillId="0" borderId="14" xfId="3" applyFont="1" applyBorder="1" applyAlignment="1">
      <alignment horizontal="left" vertical="center"/>
    </xf>
    <xf numFmtId="0" fontId="10" fillId="0" borderId="21" xfId="3" applyFont="1" applyBorder="1" applyAlignment="1">
      <alignment horizontal="left" vertical="center"/>
    </xf>
    <xf numFmtId="0" fontId="10" fillId="0" borderId="19" xfId="3" applyFont="1" applyBorder="1" applyAlignment="1">
      <alignment horizontal="left" vertical="center"/>
    </xf>
    <xf numFmtId="0" fontId="10" fillId="0" borderId="12" xfId="3" applyFont="1" applyBorder="1" applyAlignment="1">
      <alignment horizontal="left" vertical="center"/>
    </xf>
    <xf numFmtId="0" fontId="10" fillId="0" borderId="9" xfId="3" applyFont="1" applyBorder="1" applyAlignment="1">
      <alignment horizontal="left" vertical="center"/>
    </xf>
    <xf numFmtId="0" fontId="10" fillId="0" borderId="24" xfId="3" applyFont="1" applyBorder="1" applyAlignment="1">
      <alignment horizontal="left" vertical="center" wrapText="1" readingOrder="1"/>
    </xf>
    <xf numFmtId="0" fontId="9" fillId="0" borderId="28" xfId="3" applyFont="1" applyBorder="1" applyAlignment="1">
      <alignment horizontal="left" vertical="center" readingOrder="1"/>
    </xf>
    <xf numFmtId="0" fontId="10" fillId="0" borderId="12" xfId="3" applyFont="1" applyBorder="1" applyAlignment="1">
      <alignment horizontal="left" vertical="center" readingOrder="1"/>
    </xf>
    <xf numFmtId="0" fontId="10" fillId="0" borderId="9" xfId="3" applyFont="1" applyBorder="1" applyAlignment="1">
      <alignment horizontal="left" vertical="center" readingOrder="1"/>
    </xf>
    <xf numFmtId="0" fontId="9" fillId="3" borderId="2" xfId="3" applyFont="1" applyFill="1" applyBorder="1" applyAlignment="1">
      <alignment horizontal="left" vertical="center"/>
    </xf>
    <xf numFmtId="0" fontId="9" fillId="0" borderId="0" xfId="3" applyFont="1" applyAlignment="1">
      <alignment horizontal="left" vertical="top" wrapText="1" readingOrder="1"/>
    </xf>
    <xf numFmtId="0" fontId="17" fillId="0" borderId="0" xfId="3" applyFont="1" applyAlignment="1">
      <alignment horizontal="left" vertical="top" wrapText="1" readingOrder="1"/>
    </xf>
    <xf numFmtId="0" fontId="10" fillId="0" borderId="2" xfId="3" applyFont="1" applyFill="1" applyBorder="1" applyAlignment="1">
      <alignment horizontal="left" vertical="center" wrapText="1"/>
    </xf>
    <xf numFmtId="0" fontId="17" fillId="3" borderId="2" xfId="3" applyFont="1" applyFill="1" applyBorder="1" applyAlignment="1">
      <alignment horizontal="left" vertical="center"/>
    </xf>
    <xf numFmtId="0" fontId="9" fillId="0" borderId="5" xfId="3" applyFont="1" applyBorder="1" applyAlignment="1">
      <alignment horizontal="center" vertical="center" wrapText="1" readingOrder="1"/>
    </xf>
    <xf numFmtId="0" fontId="9" fillId="0" borderId="6" xfId="3" applyFont="1" applyBorder="1" applyAlignment="1">
      <alignment horizontal="center" vertical="center" wrapText="1" readingOrder="1"/>
    </xf>
    <xf numFmtId="0" fontId="9" fillId="0" borderId="7" xfId="3" applyFont="1" applyBorder="1" applyAlignment="1">
      <alignment horizontal="center" vertical="center" wrapText="1" readingOrder="1"/>
    </xf>
    <xf numFmtId="0" fontId="9" fillId="0" borderId="2" xfId="3" applyFont="1" applyFill="1" applyBorder="1" applyAlignment="1">
      <alignment horizontal="center" vertical="center" wrapText="1" readingOrder="1"/>
    </xf>
    <xf numFmtId="0" fontId="21" fillId="3" borderId="2" xfId="3" applyFont="1" applyFill="1" applyBorder="1" applyAlignment="1">
      <alignment horizontal="center" vertical="center" wrapText="1"/>
    </xf>
    <xf numFmtId="0" fontId="9" fillId="0" borderId="2" xfId="3" applyFont="1" applyFill="1" applyBorder="1" applyAlignment="1">
      <alignment horizontal="center" vertical="center"/>
    </xf>
    <xf numFmtId="176" fontId="9" fillId="0" borderId="2" xfId="3" applyNumberFormat="1" applyFont="1" applyFill="1" applyBorder="1" applyAlignment="1">
      <alignment horizontal="center" vertical="center"/>
    </xf>
    <xf numFmtId="0" fontId="10" fillId="0" borderId="6" xfId="3" applyFont="1" applyFill="1" applyBorder="1" applyAlignment="1">
      <alignment horizontal="center" vertical="center" wrapText="1" readingOrder="1"/>
    </xf>
    <xf numFmtId="0" fontId="9" fillId="0" borderId="5" xfId="3" applyFont="1" applyFill="1" applyBorder="1" applyAlignment="1">
      <alignment horizontal="center" vertical="center" wrapText="1" readingOrder="1"/>
    </xf>
    <xf numFmtId="0" fontId="10" fillId="0" borderId="1" xfId="3" applyFont="1" applyBorder="1" applyAlignment="1">
      <alignment horizontal="left" vertical="center" wrapText="1" readingOrder="1"/>
    </xf>
    <xf numFmtId="0" fontId="9" fillId="0" borderId="0" xfId="3" applyFont="1" applyAlignment="1">
      <alignment horizontal="left" vertical="top" wrapText="1"/>
    </xf>
    <xf numFmtId="0" fontId="10" fillId="0" borderId="16" xfId="3" applyFont="1" applyBorder="1" applyAlignment="1">
      <alignment horizontal="left" vertical="center" readingOrder="1"/>
    </xf>
    <xf numFmtId="0" fontId="10" fillId="0" borderId="14" xfId="3" applyFont="1" applyBorder="1" applyAlignment="1">
      <alignment horizontal="left" vertical="center" readingOrder="1"/>
    </xf>
    <xf numFmtId="0" fontId="10" fillId="0" borderId="23" xfId="3" applyFont="1" applyBorder="1" applyAlignment="1">
      <alignment horizontal="left" vertical="center" readingOrder="1"/>
    </xf>
    <xf numFmtId="0" fontId="10" fillId="0" borderId="22" xfId="3" applyFont="1" applyBorder="1" applyAlignment="1">
      <alignment horizontal="left" vertical="center" readingOrder="1"/>
    </xf>
    <xf numFmtId="0" fontId="10" fillId="0" borderId="0" xfId="3" applyFont="1" applyAlignment="1">
      <alignment horizontal="left" vertical="top" wrapText="1"/>
    </xf>
    <xf numFmtId="0" fontId="10" fillId="0" borderId="0" xfId="3" applyFont="1" applyFill="1" applyBorder="1" applyAlignment="1">
      <alignment horizontal="left" vertical="top" wrapText="1"/>
    </xf>
    <xf numFmtId="0" fontId="7" fillId="3" borderId="2" xfId="3" applyFont="1" applyFill="1" applyBorder="1" applyAlignment="1">
      <alignment horizontal="left" vertical="center" wrapText="1" readingOrder="1"/>
    </xf>
    <xf numFmtId="0" fontId="21" fillId="3" borderId="2" xfId="3" applyFont="1" applyFill="1" applyBorder="1" applyAlignment="1">
      <alignment horizontal="left" vertical="center"/>
    </xf>
    <xf numFmtId="0" fontId="9" fillId="0" borderId="12" xfId="3" applyFont="1" applyFill="1" applyBorder="1" applyAlignment="1">
      <alignment horizontal="left" vertical="top" wrapText="1"/>
    </xf>
    <xf numFmtId="0" fontId="9" fillId="0" borderId="12" xfId="3" applyFont="1" applyBorder="1" applyAlignment="1">
      <alignment horizontal="left" vertical="top" wrapText="1"/>
    </xf>
    <xf numFmtId="0" fontId="9" fillId="2" borderId="2" xfId="3" applyFont="1" applyFill="1" applyBorder="1" applyAlignment="1">
      <alignment horizontal="left" vertical="center"/>
    </xf>
    <xf numFmtId="38" fontId="10" fillId="0" borderId="2" xfId="4" applyFont="1" applyBorder="1" applyAlignment="1">
      <alignment horizontal="left" vertical="center" wrapText="1"/>
    </xf>
    <xf numFmtId="38" fontId="9" fillId="2" borderId="2" xfId="4" applyFont="1" applyFill="1" applyBorder="1" applyAlignment="1">
      <alignment horizontal="left" vertical="center"/>
    </xf>
    <xf numFmtId="38" fontId="9" fillId="0" borderId="5" xfId="4" applyFont="1" applyBorder="1" applyAlignment="1">
      <alignment horizontal="center" vertical="center"/>
    </xf>
    <xf numFmtId="38" fontId="9" fillId="0" borderId="7" xfId="4" applyFont="1" applyBorder="1" applyAlignment="1">
      <alignment horizontal="center" vertical="center"/>
    </xf>
    <xf numFmtId="0" fontId="17" fillId="0" borderId="1" xfId="3" applyFont="1" applyBorder="1" applyAlignment="1">
      <alignment horizontal="left" vertical="center" wrapText="1"/>
    </xf>
    <xf numFmtId="0" fontId="10" fillId="0" borderId="3" xfId="3" applyFont="1" applyBorder="1" applyAlignment="1">
      <alignment horizontal="left" vertical="center" wrapText="1"/>
    </xf>
    <xf numFmtId="0" fontId="10" fillId="0" borderId="4" xfId="3" applyFont="1" applyBorder="1" applyAlignment="1">
      <alignment horizontal="left" vertical="center" wrapText="1"/>
    </xf>
    <xf numFmtId="0" fontId="10" fillId="0" borderId="1" xfId="3" applyFont="1" applyBorder="1" applyAlignment="1">
      <alignment horizontal="left" vertical="center" wrapText="1"/>
    </xf>
    <xf numFmtId="0" fontId="10" fillId="3" borderId="1" xfId="3" applyFont="1" applyFill="1" applyBorder="1" applyAlignment="1">
      <alignment horizontal="left" vertical="center" wrapText="1"/>
    </xf>
    <xf numFmtId="0" fontId="10" fillId="3" borderId="3" xfId="3" applyFont="1" applyFill="1" applyBorder="1" applyAlignment="1">
      <alignment horizontal="left" vertical="center" wrapText="1"/>
    </xf>
    <xf numFmtId="0" fontId="10" fillId="3" borderId="4" xfId="3" applyFont="1" applyFill="1" applyBorder="1" applyAlignment="1">
      <alignment horizontal="left" vertical="center" wrapText="1"/>
    </xf>
    <xf numFmtId="0" fontId="9" fillId="0" borderId="0" xfId="3" applyFont="1" applyBorder="1" applyAlignment="1">
      <alignment horizontal="left" vertical="top" wrapText="1"/>
    </xf>
    <xf numFmtId="0" fontId="10" fillId="0" borderId="7" xfId="3" applyFont="1" applyBorder="1" applyAlignment="1">
      <alignment horizontal="left" vertical="center" wrapText="1"/>
    </xf>
    <xf numFmtId="0" fontId="9" fillId="3" borderId="3" xfId="3" applyFont="1" applyFill="1" applyBorder="1" applyAlignment="1">
      <alignment horizontal="center" vertical="center"/>
    </xf>
    <xf numFmtId="0" fontId="10" fillId="0" borderId="23" xfId="3" applyFont="1" applyBorder="1" applyAlignment="1">
      <alignment horizontal="left" vertical="center" wrapText="1" readingOrder="1"/>
    </xf>
    <xf numFmtId="0" fontId="9" fillId="0" borderId="22" xfId="3" applyFont="1" applyBorder="1" applyAlignment="1">
      <alignment horizontal="left" vertical="center" readingOrder="1"/>
    </xf>
    <xf numFmtId="0" fontId="10" fillId="0" borderId="12" xfId="3" applyFont="1" applyBorder="1" applyAlignment="1">
      <alignment horizontal="left" vertical="center" wrapText="1" readingOrder="1"/>
    </xf>
    <xf numFmtId="0" fontId="10" fillId="0" borderId="16" xfId="3" applyFont="1" applyBorder="1" applyAlignment="1">
      <alignment horizontal="left" vertical="center" wrapText="1"/>
    </xf>
    <xf numFmtId="0" fontId="9" fillId="0" borderId="14" xfId="3" applyFont="1" applyBorder="1" applyAlignment="1">
      <alignment horizontal="left" vertical="center"/>
    </xf>
    <xf numFmtId="0" fontId="10" fillId="0" borderId="23" xfId="3" applyFont="1" applyBorder="1" applyAlignment="1">
      <alignment horizontal="left" vertical="center" wrapText="1"/>
    </xf>
    <xf numFmtId="0" fontId="9" fillId="0" borderId="22" xfId="3" applyFont="1" applyBorder="1" applyAlignment="1">
      <alignment horizontal="left" vertical="center"/>
    </xf>
    <xf numFmtId="0" fontId="10" fillId="0" borderId="2" xfId="3" applyFont="1" applyBorder="1" applyAlignment="1">
      <alignment horizontal="left" vertical="top" wrapText="1" readingOrder="1"/>
    </xf>
    <xf numFmtId="0" fontId="10" fillId="0" borderId="1" xfId="3" applyFont="1" applyBorder="1" applyAlignment="1">
      <alignment horizontal="left" vertical="top" wrapText="1" readingOrder="1"/>
    </xf>
    <xf numFmtId="0" fontId="9" fillId="3" borderId="2" xfId="3" applyFont="1" applyFill="1" applyBorder="1" applyAlignment="1">
      <alignment horizontal="left" vertical="center" wrapText="1"/>
    </xf>
    <xf numFmtId="0" fontId="9" fillId="3" borderId="8" xfId="3" applyFont="1" applyFill="1" applyBorder="1" applyAlignment="1">
      <alignment horizontal="left" vertical="center" wrapText="1"/>
    </xf>
    <xf numFmtId="0" fontId="10" fillId="0" borderId="8" xfId="3" applyFont="1" applyBorder="1" applyAlignment="1">
      <alignment horizontal="left" vertical="center" wrapText="1" readingOrder="1"/>
    </xf>
    <xf numFmtId="0" fontId="10" fillId="0" borderId="13" xfId="3" applyFont="1" applyBorder="1" applyAlignment="1">
      <alignment horizontal="left" vertical="center" wrapText="1" readingOrder="1"/>
    </xf>
    <xf numFmtId="0" fontId="10" fillId="0" borderId="16" xfId="3" applyFont="1" applyBorder="1" applyAlignment="1">
      <alignment horizontal="left" vertical="center" wrapText="1" readingOrder="1"/>
    </xf>
    <xf numFmtId="0" fontId="10" fillId="0" borderId="8" xfId="3" applyFont="1" applyBorder="1" applyAlignment="1">
      <alignment horizontal="left" vertical="center" wrapText="1"/>
    </xf>
    <xf numFmtId="0" fontId="10" fillId="0" borderId="12" xfId="3" applyFont="1" applyBorder="1" applyAlignment="1">
      <alignment horizontal="left" vertical="center" wrapText="1"/>
    </xf>
    <xf numFmtId="0" fontId="10" fillId="0" borderId="13" xfId="3" applyFont="1" applyBorder="1" applyAlignment="1">
      <alignment horizontal="left" vertical="center" wrapText="1"/>
    </xf>
    <xf numFmtId="0" fontId="10" fillId="0" borderId="10" xfId="3" applyFont="1" applyBorder="1" applyAlignment="1">
      <alignment horizontal="left" vertical="center" wrapText="1"/>
    </xf>
    <xf numFmtId="0" fontId="10" fillId="0" borderId="0" xfId="3" applyFont="1" applyBorder="1" applyAlignment="1">
      <alignment horizontal="left" vertical="center" wrapText="1"/>
    </xf>
    <xf numFmtId="0" fontId="10" fillId="0" borderId="14" xfId="3" applyFont="1" applyBorder="1" applyAlignment="1">
      <alignment horizontal="left" vertical="center" wrapText="1"/>
    </xf>
    <xf numFmtId="0" fontId="10" fillId="0" borderId="17" xfId="3" applyFont="1" applyBorder="1" applyAlignment="1">
      <alignment horizontal="left" vertical="center" wrapText="1"/>
    </xf>
    <xf numFmtId="0" fontId="10" fillId="0" borderId="15" xfId="3" applyFont="1" applyBorder="1" applyAlignment="1">
      <alignment horizontal="left" vertical="center" wrapText="1"/>
    </xf>
    <xf numFmtId="0" fontId="10" fillId="0" borderId="14" xfId="3" applyFont="1" applyBorder="1" applyAlignment="1">
      <alignment horizontal="left" vertical="center" wrapText="1" readingOrder="1"/>
    </xf>
    <xf numFmtId="0" fontId="10" fillId="0" borderId="21" xfId="3" applyFont="1" applyBorder="1" applyAlignment="1">
      <alignment horizontal="left" vertical="center" wrapText="1" readingOrder="1"/>
    </xf>
    <xf numFmtId="0" fontId="10" fillId="0" borderId="19" xfId="3" applyFont="1" applyBorder="1" applyAlignment="1">
      <alignment horizontal="left" vertical="center" wrapText="1" readingOrder="1"/>
    </xf>
    <xf numFmtId="0" fontId="10" fillId="0" borderId="9" xfId="3" applyFont="1" applyBorder="1" applyAlignment="1">
      <alignment horizontal="left" vertical="center" wrapText="1" readingOrder="1"/>
    </xf>
    <xf numFmtId="0" fontId="10" fillId="0" borderId="21" xfId="3" applyFont="1" applyBorder="1" applyAlignment="1">
      <alignment horizontal="left" vertical="center" wrapText="1"/>
    </xf>
    <xf numFmtId="0" fontId="10" fillId="0" borderId="19" xfId="3" applyFont="1" applyBorder="1" applyAlignment="1">
      <alignment horizontal="left" vertical="center" wrapText="1"/>
    </xf>
    <xf numFmtId="0" fontId="10" fillId="0" borderId="9" xfId="3" applyFont="1" applyBorder="1" applyAlignment="1">
      <alignment horizontal="left" vertical="center" wrapText="1"/>
    </xf>
    <xf numFmtId="0" fontId="10" fillId="0" borderId="22" xfId="3" applyFont="1" applyBorder="1" applyAlignment="1">
      <alignment horizontal="left" vertical="center" wrapText="1"/>
    </xf>
    <xf numFmtId="0" fontId="9" fillId="0" borderId="16" xfId="3" applyFont="1" applyBorder="1" applyAlignment="1">
      <alignment horizontal="left" vertical="center" wrapText="1" readingOrder="1"/>
    </xf>
    <xf numFmtId="0" fontId="9" fillId="0" borderId="14" xfId="3" applyFont="1" applyBorder="1" applyAlignment="1">
      <alignment horizontal="left" vertical="center" wrapText="1" readingOrder="1"/>
    </xf>
    <xf numFmtId="0" fontId="10" fillId="0" borderId="22" xfId="3" applyFont="1" applyBorder="1" applyAlignment="1">
      <alignment horizontal="left" vertical="center" wrapText="1" readingOrder="1"/>
    </xf>
    <xf numFmtId="0" fontId="10" fillId="0" borderId="2" xfId="3" applyFont="1" applyBorder="1" applyAlignment="1">
      <alignment horizontal="left" vertical="center" readingOrder="1"/>
    </xf>
    <xf numFmtId="0" fontId="10" fillId="0" borderId="6" xfId="3" applyFont="1" applyBorder="1" applyAlignment="1">
      <alignment horizontal="left" vertical="center" readingOrder="1"/>
    </xf>
    <xf numFmtId="0" fontId="10" fillId="0" borderId="6" xfId="3" applyFont="1" applyBorder="1" applyAlignment="1">
      <alignment horizontal="left" vertical="center" wrapText="1" readingOrder="1"/>
    </xf>
    <xf numFmtId="0" fontId="10" fillId="0" borderId="7" xfId="3" applyFont="1" applyBorder="1" applyAlignment="1">
      <alignment horizontal="left" vertical="center" wrapText="1" readingOrder="1"/>
    </xf>
    <xf numFmtId="0" fontId="10" fillId="0" borderId="3" xfId="3" applyFont="1" applyBorder="1" applyAlignment="1">
      <alignment horizontal="left" vertical="center" wrapText="1" readingOrder="1"/>
    </xf>
    <xf numFmtId="0" fontId="9" fillId="0" borderId="0" xfId="3" applyFont="1" applyBorder="1" applyAlignment="1">
      <alignment horizontal="left" vertical="center" wrapText="1"/>
    </xf>
    <xf numFmtId="0" fontId="12" fillId="0" borderId="16" xfId="0" applyFont="1" applyFill="1" applyBorder="1" applyAlignment="1">
      <alignment horizontal="left" vertical="center" wrapText="1"/>
    </xf>
    <xf numFmtId="0" fontId="12" fillId="0" borderId="16" xfId="0" applyFont="1" applyFill="1" applyBorder="1" applyAlignment="1">
      <alignment horizontal="left" vertical="center"/>
    </xf>
    <xf numFmtId="0" fontId="9" fillId="0" borderId="0" xfId="3" applyFont="1" applyFill="1" applyBorder="1" applyAlignment="1">
      <alignment horizontal="left" vertical="top" wrapText="1"/>
    </xf>
    <xf numFmtId="0" fontId="10" fillId="0" borderId="7" xfId="3" applyFont="1" applyFill="1" applyBorder="1" applyAlignment="1">
      <alignment horizontal="center" vertical="center" wrapText="1" readingOrder="1"/>
    </xf>
    <xf numFmtId="0" fontId="10" fillId="0" borderId="1" xfId="3" applyFont="1" applyFill="1" applyBorder="1" applyAlignment="1">
      <alignment horizontal="left" vertical="center" wrapText="1"/>
    </xf>
    <xf numFmtId="0" fontId="10" fillId="0" borderId="3" xfId="3" applyFont="1" applyFill="1" applyBorder="1" applyAlignment="1">
      <alignment horizontal="left" vertical="center" wrapText="1"/>
    </xf>
    <xf numFmtId="0" fontId="10" fillId="0" borderId="13" xfId="3" applyFont="1" applyFill="1" applyBorder="1" applyAlignment="1">
      <alignment horizontal="left" vertical="center" wrapText="1"/>
    </xf>
    <xf numFmtId="0" fontId="10" fillId="0" borderId="14" xfId="3" applyFont="1" applyFill="1" applyBorder="1" applyAlignment="1">
      <alignment horizontal="left" vertical="center" wrapText="1"/>
    </xf>
    <xf numFmtId="0" fontId="10" fillId="0" borderId="4" xfId="3" applyFont="1" applyFill="1" applyBorder="1" applyAlignment="1">
      <alignment horizontal="left" vertical="center" wrapText="1"/>
    </xf>
    <xf numFmtId="0" fontId="9" fillId="3" borderId="2" xfId="3" applyFont="1" applyFill="1" applyBorder="1" applyAlignment="1">
      <alignment horizontal="left" vertical="center" wrapText="1" readingOrder="1"/>
    </xf>
    <xf numFmtId="0" fontId="9" fillId="3" borderId="1" xfId="3" applyFont="1" applyFill="1" applyBorder="1" applyAlignment="1">
      <alignment horizontal="left" vertical="center" wrapText="1" readingOrder="1"/>
    </xf>
    <xf numFmtId="0" fontId="10" fillId="0" borderId="3" xfId="3" applyFont="1" applyBorder="1" applyAlignment="1">
      <alignment horizontal="left" vertical="center"/>
    </xf>
    <xf numFmtId="0" fontId="10" fillId="0" borderId="4" xfId="3" applyFont="1" applyBorder="1" applyAlignment="1">
      <alignment horizontal="left" vertical="center"/>
    </xf>
    <xf numFmtId="3" fontId="9" fillId="0" borderId="2" xfId="3" applyNumberFormat="1" applyFont="1" applyBorder="1" applyAlignment="1">
      <alignment vertical="center" wrapText="1"/>
    </xf>
    <xf numFmtId="3" fontId="9" fillId="0" borderId="2" xfId="3" applyNumberFormat="1" applyFont="1" applyBorder="1" applyAlignment="1">
      <alignment horizontal="right" vertical="center"/>
    </xf>
    <xf numFmtId="0" fontId="9" fillId="0" borderId="2" xfId="3" applyFont="1" applyFill="1" applyBorder="1" applyAlignment="1">
      <alignment horizontal="right" vertical="center" wrapText="1"/>
    </xf>
  </cellXfs>
  <cellStyles count="6">
    <cellStyle name="ハイパーリンク" xfId="2" builtinId="8"/>
    <cellStyle name="ハイパーリンク 2" xfId="5" xr:uid="{403AB679-F961-4287-BCDA-F652EEA717DE}"/>
    <cellStyle name="桁区切り" xfId="1" builtinId="6"/>
    <cellStyle name="桁区切り 2" xfId="4" xr:uid="{0362BF89-24E8-4CED-8703-31E26D24206C}"/>
    <cellStyle name="標準" xfId="0" builtinId="0"/>
    <cellStyle name="標準 2" xfId="3" xr:uid="{A6C692B7-B59E-4720-A718-FF2567F634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75A65-88A7-4745-B538-1EBF0A44ADD3}">
  <sheetPr>
    <pageSetUpPr fitToPage="1"/>
  </sheetPr>
  <dimension ref="A1:P210"/>
  <sheetViews>
    <sheetView showGridLines="0" tabSelected="1" zoomScale="85" zoomScaleNormal="85" zoomScaleSheetLayoutView="85" workbookViewId="0">
      <selection activeCell="K9" sqref="K9"/>
    </sheetView>
  </sheetViews>
  <sheetFormatPr defaultColWidth="9.59765625" defaultRowHeight="13.8"/>
  <cols>
    <col min="1" max="1" width="45.8984375" style="3" customWidth="1"/>
    <col min="2" max="2" width="20.5" style="5" customWidth="1"/>
    <col min="3" max="3" width="17.69921875" style="36" customWidth="1"/>
    <col min="4" max="6" width="17.69921875" style="4" customWidth="1"/>
    <col min="7" max="7" width="17.69921875" style="37" customWidth="1"/>
    <col min="8" max="8" width="17.69921875" style="36" customWidth="1"/>
    <col min="9" max="15" width="17.69921875" style="3" customWidth="1"/>
    <col min="16" max="16384" width="9.59765625" style="3"/>
  </cols>
  <sheetData>
    <row r="1" spans="1:16" s="2" customFormat="1" ht="18.75" customHeight="1">
      <c r="A1" s="31" t="s">
        <v>55</v>
      </c>
      <c r="B1" s="32"/>
      <c r="C1" s="32"/>
      <c r="D1" s="32"/>
      <c r="E1" s="32"/>
      <c r="G1" s="33"/>
      <c r="H1" s="34" t="s">
        <v>48</v>
      </c>
    </row>
    <row r="2" spans="1:16" ht="18.75" customHeight="1">
      <c r="B2" s="35"/>
    </row>
    <row r="3" spans="1:16" ht="18.75" customHeight="1">
      <c r="A3" s="38" t="s">
        <v>56</v>
      </c>
      <c r="B3" s="35"/>
    </row>
    <row r="4" spans="1:16" ht="18.75" customHeight="1">
      <c r="A4" s="39" t="s">
        <v>57</v>
      </c>
      <c r="B4" s="27"/>
      <c r="C4" s="27"/>
      <c r="D4" s="27"/>
      <c r="E4" s="27"/>
      <c r="F4" s="27"/>
      <c r="G4" s="27"/>
      <c r="H4" s="27"/>
      <c r="I4" s="27"/>
      <c r="J4" s="27"/>
      <c r="K4" s="27"/>
      <c r="L4" s="27"/>
      <c r="M4" s="27"/>
      <c r="N4" s="27"/>
      <c r="O4" s="27"/>
      <c r="P4" s="27"/>
    </row>
    <row r="5" spans="1:16" ht="18.75" customHeight="1">
      <c r="A5" s="13"/>
      <c r="B5" s="13"/>
      <c r="C5" s="13"/>
      <c r="D5" s="13"/>
      <c r="E5" s="13"/>
      <c r="F5" s="13"/>
      <c r="G5" s="13"/>
      <c r="H5" s="13"/>
      <c r="I5" s="13"/>
      <c r="J5" s="13"/>
      <c r="K5" s="13"/>
      <c r="L5" s="13"/>
      <c r="M5" s="13"/>
      <c r="N5" s="13"/>
      <c r="O5" s="13"/>
      <c r="P5" s="13"/>
    </row>
    <row r="6" spans="1:16" s="1" customFormat="1" ht="18.75" customHeight="1">
      <c r="A6" s="18" t="s">
        <v>58</v>
      </c>
      <c r="B6" s="19"/>
      <c r="C6" s="19"/>
      <c r="D6" s="19"/>
      <c r="E6" s="19"/>
      <c r="F6" s="19"/>
      <c r="G6" s="19"/>
      <c r="H6" s="19"/>
      <c r="I6" s="19"/>
      <c r="J6" s="19"/>
      <c r="K6" s="19"/>
      <c r="L6" s="19"/>
      <c r="M6" s="19"/>
      <c r="N6" s="19"/>
      <c r="O6" s="19"/>
    </row>
    <row r="7" spans="1:16" ht="30" customHeight="1">
      <c r="A7" s="255"/>
      <c r="B7" s="255"/>
      <c r="C7" s="256"/>
      <c r="D7" s="40"/>
      <c r="E7" s="41" t="s">
        <v>59</v>
      </c>
      <c r="F7" s="42" t="s">
        <v>60</v>
      </c>
      <c r="G7" s="42" t="s">
        <v>61</v>
      </c>
      <c r="H7" s="42" t="s">
        <v>62</v>
      </c>
      <c r="I7" s="11"/>
    </row>
    <row r="8" spans="1:16" ht="19.95" customHeight="1">
      <c r="A8" s="260" t="s">
        <v>63</v>
      </c>
      <c r="B8" s="261"/>
      <c r="C8" s="261" t="s">
        <v>64</v>
      </c>
      <c r="D8" s="274"/>
      <c r="E8" s="155" t="s">
        <v>65</v>
      </c>
      <c r="F8" s="43">
        <v>20917</v>
      </c>
      <c r="G8" s="43">
        <v>20789</v>
      </c>
      <c r="H8" s="43" t="s">
        <v>66</v>
      </c>
      <c r="I8" s="11"/>
    </row>
    <row r="9" spans="1:16" ht="19.95" customHeight="1">
      <c r="A9" s="263"/>
      <c r="B9" s="264"/>
      <c r="C9" s="272" t="s">
        <v>67</v>
      </c>
      <c r="D9" s="273"/>
      <c r="E9" s="156"/>
      <c r="F9" s="44">
        <v>2349</v>
      </c>
      <c r="G9" s="44">
        <v>2355</v>
      </c>
      <c r="H9" s="44" t="s">
        <v>68</v>
      </c>
      <c r="I9" s="11"/>
    </row>
    <row r="10" spans="1:16" ht="19.95" customHeight="1">
      <c r="A10" s="262"/>
      <c r="B10" s="249"/>
      <c r="C10" s="249" t="s">
        <v>69</v>
      </c>
      <c r="D10" s="265"/>
      <c r="E10" s="157"/>
      <c r="F10" s="45">
        <v>23266</v>
      </c>
      <c r="G10" s="45">
        <v>23144</v>
      </c>
      <c r="H10" s="45" t="s">
        <v>70</v>
      </c>
      <c r="I10" s="11"/>
    </row>
    <row r="11" spans="1:16" ht="19.95" customHeight="1">
      <c r="A11" s="260" t="s">
        <v>71</v>
      </c>
      <c r="B11" s="261"/>
      <c r="C11" s="261" t="s">
        <v>64</v>
      </c>
      <c r="D11" s="274"/>
      <c r="E11" s="155" t="s">
        <v>72</v>
      </c>
      <c r="F11" s="46">
        <v>40.9</v>
      </c>
      <c r="G11" s="46">
        <v>41.4</v>
      </c>
      <c r="H11" s="43" t="s">
        <v>73</v>
      </c>
      <c r="I11" s="11"/>
    </row>
    <row r="12" spans="1:16" ht="19.95" customHeight="1">
      <c r="A12" s="263"/>
      <c r="B12" s="264"/>
      <c r="C12" s="272" t="s">
        <v>67</v>
      </c>
      <c r="D12" s="273"/>
      <c r="E12" s="156"/>
      <c r="F12" s="47">
        <v>38.299999999999997</v>
      </c>
      <c r="G12" s="47">
        <v>38.9</v>
      </c>
      <c r="H12" s="44" t="s">
        <v>74</v>
      </c>
      <c r="I12" s="11"/>
    </row>
    <row r="13" spans="1:16" ht="19.95" customHeight="1">
      <c r="A13" s="262"/>
      <c r="B13" s="249"/>
      <c r="C13" s="249" t="s">
        <v>69</v>
      </c>
      <c r="D13" s="265"/>
      <c r="E13" s="157"/>
      <c r="F13" s="48">
        <v>40.700000000000003</v>
      </c>
      <c r="G13" s="48">
        <v>41.2</v>
      </c>
      <c r="H13" s="45" t="s">
        <v>75</v>
      </c>
      <c r="I13" s="11"/>
    </row>
    <row r="14" spans="1:16" ht="19.95" customHeight="1">
      <c r="A14" s="279" t="s">
        <v>76</v>
      </c>
      <c r="B14" s="279"/>
      <c r="C14" s="280"/>
      <c r="D14" s="280"/>
      <c r="E14" s="49" t="s">
        <v>77</v>
      </c>
      <c r="F14" s="50">
        <v>1276</v>
      </c>
      <c r="G14" s="51">
        <v>1185</v>
      </c>
      <c r="H14" s="51" t="s">
        <v>78</v>
      </c>
      <c r="I14" s="11"/>
    </row>
    <row r="15" spans="1:16" ht="19.95" customHeight="1">
      <c r="A15" s="260" t="s">
        <v>79</v>
      </c>
      <c r="B15" s="261"/>
      <c r="C15" s="261" t="s">
        <v>64</v>
      </c>
      <c r="D15" s="274"/>
      <c r="E15" s="155" t="s">
        <v>80</v>
      </c>
      <c r="F15" s="46">
        <v>17.7</v>
      </c>
      <c r="G15" s="46">
        <v>18.381361970681901</v>
      </c>
      <c r="H15" s="43" t="s">
        <v>81</v>
      </c>
      <c r="I15" s="11"/>
    </row>
    <row r="16" spans="1:16" ht="19.95" customHeight="1">
      <c r="A16" s="263"/>
      <c r="B16" s="264"/>
      <c r="C16" s="272" t="s">
        <v>67</v>
      </c>
      <c r="D16" s="273"/>
      <c r="E16" s="156"/>
      <c r="F16" s="47">
        <v>14.3</v>
      </c>
      <c r="G16" s="47">
        <v>14.8903432857347</v>
      </c>
      <c r="H16" s="44" t="s">
        <v>82</v>
      </c>
      <c r="I16" s="11"/>
    </row>
    <row r="17" spans="1:9" ht="19.95" customHeight="1">
      <c r="A17" s="262"/>
      <c r="B17" s="249"/>
      <c r="C17" s="249" t="s">
        <v>69</v>
      </c>
      <c r="D17" s="265"/>
      <c r="E17" s="157"/>
      <c r="F17" s="48">
        <v>17.3</v>
      </c>
      <c r="G17" s="48">
        <v>18.013961625</v>
      </c>
      <c r="H17" s="45" t="s">
        <v>83</v>
      </c>
      <c r="I17" s="11"/>
    </row>
    <row r="18" spans="1:9" ht="19.95" customHeight="1">
      <c r="A18" s="168" t="s">
        <v>84</v>
      </c>
      <c r="B18" s="168"/>
      <c r="C18" s="281"/>
      <c r="D18" s="281"/>
      <c r="E18" s="49" t="s">
        <v>77</v>
      </c>
      <c r="F18" s="50">
        <v>127</v>
      </c>
      <c r="G18" s="51">
        <v>99</v>
      </c>
      <c r="H18" s="51" t="s">
        <v>85</v>
      </c>
      <c r="I18" s="11"/>
    </row>
    <row r="19" spans="1:9" ht="19.95" customHeight="1">
      <c r="A19" s="260" t="s">
        <v>86</v>
      </c>
      <c r="B19" s="261"/>
      <c r="C19" s="248" t="s">
        <v>87</v>
      </c>
      <c r="D19" s="271"/>
      <c r="E19" s="210" t="s">
        <v>88</v>
      </c>
      <c r="F19" s="52">
        <v>45</v>
      </c>
      <c r="G19" s="43">
        <v>48</v>
      </c>
      <c r="H19" s="43">
        <v>50</v>
      </c>
      <c r="I19" s="11"/>
    </row>
    <row r="20" spans="1:9" ht="19.95" customHeight="1">
      <c r="A20" s="263"/>
      <c r="B20" s="264"/>
      <c r="C20" s="269" t="s">
        <v>89</v>
      </c>
      <c r="D20" s="270"/>
      <c r="E20" s="211"/>
      <c r="F20" s="53">
        <v>10</v>
      </c>
      <c r="G20" s="44">
        <v>9</v>
      </c>
      <c r="H20" s="44">
        <v>8</v>
      </c>
      <c r="I20" s="11"/>
    </row>
    <row r="21" spans="1:9" ht="19.95" customHeight="1">
      <c r="A21" s="262"/>
      <c r="B21" s="249"/>
      <c r="C21" s="259" t="s">
        <v>90</v>
      </c>
      <c r="D21" s="268"/>
      <c r="E21" s="212"/>
      <c r="F21" s="54">
        <v>11</v>
      </c>
      <c r="G21" s="45">
        <v>13</v>
      </c>
      <c r="H21" s="45">
        <v>12</v>
      </c>
      <c r="I21" s="11"/>
    </row>
    <row r="22" spans="1:9" ht="19.95" customHeight="1">
      <c r="A22" s="260" t="s">
        <v>91</v>
      </c>
      <c r="B22" s="261"/>
      <c r="C22" s="266" t="s">
        <v>64</v>
      </c>
      <c r="D22" s="267"/>
      <c r="E22" s="178" t="s">
        <v>77</v>
      </c>
      <c r="F22" s="50">
        <v>243</v>
      </c>
      <c r="G22" s="51">
        <v>255</v>
      </c>
      <c r="H22" s="51">
        <v>283</v>
      </c>
      <c r="I22" s="12"/>
    </row>
    <row r="23" spans="1:9" ht="19.95" customHeight="1">
      <c r="A23" s="262"/>
      <c r="B23" s="249"/>
      <c r="C23" s="249" t="s">
        <v>92</v>
      </c>
      <c r="D23" s="265"/>
      <c r="E23" s="212"/>
      <c r="F23" s="50">
        <v>40</v>
      </c>
      <c r="G23" s="51">
        <v>42</v>
      </c>
      <c r="H23" s="51">
        <v>71</v>
      </c>
      <c r="I23" s="12"/>
    </row>
    <row r="24" spans="1:9" ht="19.95" customHeight="1">
      <c r="A24" s="173" t="s">
        <v>93</v>
      </c>
      <c r="B24" s="173"/>
      <c r="C24" s="244"/>
      <c r="D24" s="244"/>
      <c r="E24" s="55" t="s">
        <v>88</v>
      </c>
      <c r="F24" s="56">
        <f>F23/F22*100</f>
        <v>16.460905349794238</v>
      </c>
      <c r="G24" s="56">
        <f>G23/G22*100</f>
        <v>16.470588235294116</v>
      </c>
      <c r="H24" s="56">
        <v>20.100000000000001</v>
      </c>
      <c r="I24" s="12"/>
    </row>
    <row r="25" spans="1:9" ht="40.5" customHeight="1">
      <c r="A25" s="257" t="s">
        <v>94</v>
      </c>
      <c r="B25" s="248"/>
      <c r="C25" s="246" t="s">
        <v>95</v>
      </c>
      <c r="D25" s="278"/>
      <c r="E25" s="178" t="s">
        <v>77</v>
      </c>
      <c r="F25" s="57">
        <v>298</v>
      </c>
      <c r="G25" s="58">
        <v>323</v>
      </c>
      <c r="H25" s="58" t="s">
        <v>96</v>
      </c>
      <c r="I25" s="11"/>
    </row>
    <row r="26" spans="1:9" ht="40.5" customHeight="1">
      <c r="A26" s="258"/>
      <c r="B26" s="259"/>
      <c r="C26" s="259" t="s">
        <v>97</v>
      </c>
      <c r="D26" s="268"/>
      <c r="E26" s="212"/>
      <c r="F26" s="54">
        <v>55</v>
      </c>
      <c r="G26" s="45">
        <v>65</v>
      </c>
      <c r="H26" s="45" t="s">
        <v>98</v>
      </c>
      <c r="I26" s="11"/>
    </row>
    <row r="27" spans="1:9" ht="40.5" customHeight="1">
      <c r="A27" s="257" t="s">
        <v>99</v>
      </c>
      <c r="B27" s="248"/>
      <c r="C27" s="246" t="s">
        <v>100</v>
      </c>
      <c r="D27" s="278"/>
      <c r="E27" s="210" t="s">
        <v>88</v>
      </c>
      <c r="F27" s="59">
        <v>7.2</v>
      </c>
      <c r="G27" s="60">
        <v>7.5</v>
      </c>
      <c r="H27" s="58" t="s">
        <v>101</v>
      </c>
      <c r="I27" s="11"/>
    </row>
    <row r="28" spans="1:9" ht="40.5" customHeight="1">
      <c r="A28" s="258"/>
      <c r="B28" s="259"/>
      <c r="C28" s="259" t="s">
        <v>102</v>
      </c>
      <c r="D28" s="268"/>
      <c r="E28" s="212"/>
      <c r="F28" s="61">
        <v>3.9</v>
      </c>
      <c r="G28" s="48">
        <v>4.4000000000000004</v>
      </c>
      <c r="H28" s="45" t="s">
        <v>103</v>
      </c>
      <c r="I28" s="11"/>
    </row>
    <row r="29" spans="1:9" ht="40.5" customHeight="1">
      <c r="A29" s="219" t="s">
        <v>104</v>
      </c>
      <c r="B29" s="283"/>
      <c r="C29" s="276" t="s">
        <v>97</v>
      </c>
      <c r="D29" s="277"/>
      <c r="E29" s="49" t="s">
        <v>77</v>
      </c>
      <c r="F29" s="50">
        <v>1349</v>
      </c>
      <c r="G29" s="51">
        <v>1422</v>
      </c>
      <c r="H29" s="51" t="s">
        <v>105</v>
      </c>
      <c r="I29" s="11"/>
    </row>
    <row r="30" spans="1:9" ht="19.95" customHeight="1">
      <c r="A30" s="168" t="s">
        <v>106</v>
      </c>
      <c r="B30" s="168"/>
      <c r="C30" s="282"/>
      <c r="D30" s="282"/>
      <c r="E30" s="49" t="s">
        <v>107</v>
      </c>
      <c r="F30" s="56">
        <v>52.6</v>
      </c>
      <c r="G30" s="62">
        <v>52.8</v>
      </c>
      <c r="H30" s="51" t="s">
        <v>108</v>
      </c>
      <c r="I30" s="11"/>
    </row>
    <row r="31" spans="1:9" ht="19.95" customHeight="1">
      <c r="A31" s="168" t="s">
        <v>109</v>
      </c>
      <c r="B31" s="168"/>
      <c r="C31" s="168"/>
      <c r="D31" s="168"/>
      <c r="E31" s="63" t="s">
        <v>88</v>
      </c>
      <c r="F31" s="64">
        <v>2.38</v>
      </c>
      <c r="G31" s="65">
        <v>2.4</v>
      </c>
      <c r="H31" s="51" t="s">
        <v>110</v>
      </c>
      <c r="I31" s="11"/>
    </row>
    <row r="32" spans="1:9" ht="19.95" customHeight="1">
      <c r="A32" s="168" t="s">
        <v>111</v>
      </c>
      <c r="B32" s="168"/>
      <c r="C32" s="168"/>
      <c r="D32" s="168"/>
      <c r="E32" s="49" t="s">
        <v>77</v>
      </c>
      <c r="F32" s="50">
        <v>394</v>
      </c>
      <c r="G32" s="51">
        <v>393</v>
      </c>
      <c r="H32" s="51" t="s">
        <v>112</v>
      </c>
      <c r="I32" s="11"/>
    </row>
    <row r="33" spans="1:15" ht="19.95" customHeight="1">
      <c r="A33" s="168" t="s">
        <v>113</v>
      </c>
      <c r="B33" s="168"/>
      <c r="C33" s="168"/>
      <c r="D33" s="168"/>
      <c r="E33" s="66" t="s">
        <v>88</v>
      </c>
      <c r="F33" s="56">
        <v>5.0999999999999996</v>
      </c>
      <c r="G33" s="62">
        <v>2.7</v>
      </c>
      <c r="H33" s="51" t="s">
        <v>114</v>
      </c>
      <c r="I33" s="11"/>
    </row>
    <row r="34" spans="1:15" ht="19.95" customHeight="1">
      <c r="A34" s="257" t="s">
        <v>115</v>
      </c>
      <c r="B34" s="248"/>
      <c r="C34" s="251" t="s">
        <v>116</v>
      </c>
      <c r="D34" s="275"/>
      <c r="E34" s="178" t="s">
        <v>117</v>
      </c>
      <c r="F34" s="57">
        <v>444</v>
      </c>
      <c r="G34" s="58">
        <v>428</v>
      </c>
      <c r="H34" s="58" t="s">
        <v>118</v>
      </c>
      <c r="I34" s="11"/>
    </row>
    <row r="35" spans="1:15" ht="19.95" customHeight="1">
      <c r="A35" s="258"/>
      <c r="B35" s="259"/>
      <c r="C35" s="249" t="s">
        <v>119</v>
      </c>
      <c r="D35" s="265"/>
      <c r="E35" s="212"/>
      <c r="F35" s="54">
        <v>76</v>
      </c>
      <c r="G35" s="45">
        <v>72</v>
      </c>
      <c r="H35" s="45" t="s">
        <v>120</v>
      </c>
      <c r="I35" s="11"/>
    </row>
    <row r="36" spans="1:15" ht="10.199999999999999" customHeight="1">
      <c r="A36" s="67"/>
      <c r="B36" s="30"/>
      <c r="C36" s="67"/>
      <c r="D36" s="68"/>
      <c r="E36" s="68"/>
      <c r="F36" s="69"/>
      <c r="G36" s="70"/>
    </row>
    <row r="37" spans="1:15" s="20" customFormat="1" ht="30" customHeight="1">
      <c r="A37" s="220" t="s">
        <v>121</v>
      </c>
      <c r="B37" s="220"/>
      <c r="C37" s="220"/>
      <c r="D37" s="220"/>
      <c r="E37" s="220"/>
      <c r="F37" s="220"/>
      <c r="G37" s="220"/>
      <c r="H37" s="220"/>
      <c r="I37" s="29"/>
      <c r="J37" s="29"/>
      <c r="K37" s="29"/>
      <c r="L37" s="29"/>
      <c r="M37" s="29"/>
    </row>
    <row r="38" spans="1:15" s="20" customFormat="1" ht="30" customHeight="1">
      <c r="A38" s="206" t="s">
        <v>122</v>
      </c>
      <c r="B38" s="206"/>
      <c r="C38" s="206"/>
      <c r="D38" s="206"/>
      <c r="E38" s="206"/>
      <c r="F38" s="206"/>
      <c r="G38" s="206"/>
      <c r="H38" s="206"/>
      <c r="I38" s="25"/>
      <c r="J38" s="25"/>
      <c r="K38" s="25"/>
      <c r="L38" s="25"/>
      <c r="M38" s="25"/>
    </row>
    <row r="39" spans="1:15" s="20" customFormat="1" ht="30" customHeight="1">
      <c r="A39" s="206" t="s">
        <v>123</v>
      </c>
      <c r="B39" s="206"/>
      <c r="C39" s="206"/>
      <c r="D39" s="206"/>
      <c r="E39" s="206"/>
      <c r="F39" s="206"/>
      <c r="G39" s="206"/>
      <c r="H39" s="206"/>
      <c r="I39" s="25"/>
      <c r="J39" s="25"/>
      <c r="K39" s="25"/>
      <c r="L39" s="25"/>
      <c r="M39" s="25"/>
    </row>
    <row r="40" spans="1:15" s="20" customFormat="1" ht="30" customHeight="1">
      <c r="A40" s="206" t="s">
        <v>124</v>
      </c>
      <c r="B40" s="206"/>
      <c r="C40" s="206"/>
      <c r="D40" s="206"/>
      <c r="E40" s="206"/>
      <c r="F40" s="206"/>
      <c r="G40" s="206"/>
      <c r="H40" s="206"/>
      <c r="I40" s="25"/>
      <c r="J40" s="25"/>
      <c r="K40" s="25"/>
      <c r="L40" s="25"/>
      <c r="M40" s="25"/>
    </row>
    <row r="41" spans="1:15" s="20" customFormat="1" ht="30" customHeight="1">
      <c r="A41" s="206" t="s">
        <v>125</v>
      </c>
      <c r="B41" s="206"/>
      <c r="C41" s="206"/>
      <c r="D41" s="206"/>
      <c r="E41" s="206"/>
      <c r="F41" s="206"/>
      <c r="G41" s="206"/>
      <c r="H41" s="206"/>
      <c r="I41" s="25"/>
      <c r="J41" s="25"/>
      <c r="K41" s="25"/>
      <c r="L41" s="25"/>
      <c r="M41" s="25"/>
    </row>
    <row r="42" spans="1:15" s="20" customFormat="1" ht="33" customHeight="1">
      <c r="A42" s="207" t="s">
        <v>126</v>
      </c>
      <c r="B42" s="207"/>
      <c r="C42" s="207"/>
      <c r="D42" s="207"/>
      <c r="E42" s="207"/>
      <c r="F42" s="207"/>
      <c r="G42" s="207"/>
      <c r="H42" s="207"/>
    </row>
    <row r="43" spans="1:15" ht="19.5" customHeight="1">
      <c r="A43" s="71"/>
      <c r="B43" s="72"/>
      <c r="C43" s="73"/>
      <c r="D43" s="74"/>
      <c r="E43" s="74"/>
    </row>
    <row r="44" spans="1:15" s="7" customFormat="1" ht="19.95" customHeight="1">
      <c r="A44" s="75" t="s">
        <v>127</v>
      </c>
      <c r="B44" s="17"/>
      <c r="C44" s="17"/>
      <c r="D44" s="17"/>
      <c r="E44" s="17"/>
      <c r="F44" s="17"/>
      <c r="G44" s="17"/>
      <c r="H44" s="17"/>
      <c r="I44" s="17"/>
      <c r="J44" s="17"/>
      <c r="K44" s="17"/>
      <c r="L44" s="17"/>
      <c r="M44" s="17"/>
      <c r="N44" s="17"/>
      <c r="O44" s="17"/>
    </row>
    <row r="45" spans="1:15" ht="30" customHeight="1">
      <c r="A45" s="205"/>
      <c r="B45" s="205"/>
      <c r="C45" s="205"/>
      <c r="D45" s="205"/>
      <c r="E45" s="205"/>
      <c r="F45" s="205"/>
      <c r="G45" s="76" t="s">
        <v>128</v>
      </c>
      <c r="H45" s="42" t="s">
        <v>129</v>
      </c>
    </row>
    <row r="46" spans="1:15" ht="19.95" customHeight="1">
      <c r="A46" s="173" t="s">
        <v>130</v>
      </c>
      <c r="B46" s="173"/>
      <c r="C46" s="173"/>
      <c r="D46" s="173"/>
      <c r="E46" s="173"/>
      <c r="F46" s="173"/>
      <c r="G46" s="77" t="s">
        <v>131</v>
      </c>
      <c r="H46" s="51" t="s">
        <v>132</v>
      </c>
    </row>
    <row r="47" spans="1:15" s="20" customFormat="1" ht="45.75" customHeight="1">
      <c r="A47" s="220" t="s">
        <v>133</v>
      </c>
      <c r="B47" s="220"/>
      <c r="C47" s="220"/>
      <c r="D47" s="220"/>
      <c r="E47" s="220"/>
      <c r="F47" s="220"/>
      <c r="G47" s="220"/>
      <c r="H47" s="220"/>
      <c r="I47" s="29"/>
      <c r="J47" s="29"/>
      <c r="K47" s="29"/>
      <c r="L47" s="29"/>
      <c r="M47" s="29"/>
    </row>
    <row r="48" spans="1:15" ht="19.5" customHeight="1">
      <c r="A48" s="78"/>
      <c r="B48" s="79"/>
      <c r="C48" s="80"/>
      <c r="D48" s="5"/>
      <c r="E48" s="74"/>
      <c r="H48" s="3"/>
    </row>
    <row r="49" spans="1:15" s="7" customFormat="1" ht="19.95" customHeight="1">
      <c r="A49" s="18" t="s">
        <v>134</v>
      </c>
      <c r="B49" s="19"/>
      <c r="C49" s="19"/>
      <c r="D49" s="19"/>
      <c r="E49" s="19"/>
      <c r="F49" s="19"/>
      <c r="G49" s="19"/>
      <c r="H49" s="19"/>
      <c r="I49" s="19"/>
      <c r="J49" s="19"/>
      <c r="K49" s="19"/>
      <c r="L49" s="19"/>
      <c r="M49" s="19"/>
      <c r="N49" s="19"/>
      <c r="O49" s="19"/>
    </row>
    <row r="50" spans="1:15" ht="30" customHeight="1">
      <c r="A50" s="205"/>
      <c r="B50" s="205"/>
      <c r="C50" s="205"/>
      <c r="D50" s="205"/>
      <c r="E50" s="205"/>
      <c r="F50" s="205"/>
      <c r="G50" s="76" t="s">
        <v>128</v>
      </c>
      <c r="H50" s="42" t="s">
        <v>62</v>
      </c>
    </row>
    <row r="51" spans="1:15" ht="19.95" customHeight="1">
      <c r="A51" s="173" t="s">
        <v>135</v>
      </c>
      <c r="B51" s="173"/>
      <c r="C51" s="173"/>
      <c r="D51" s="173"/>
      <c r="E51" s="173"/>
      <c r="F51" s="173"/>
      <c r="G51" s="174" t="s">
        <v>136</v>
      </c>
      <c r="H51" s="81">
        <v>76</v>
      </c>
    </row>
    <row r="52" spans="1:15" ht="19.95" customHeight="1">
      <c r="A52" s="173" t="s">
        <v>137</v>
      </c>
      <c r="B52" s="173"/>
      <c r="C52" s="173"/>
      <c r="D52" s="173"/>
      <c r="E52" s="173"/>
      <c r="F52" s="173"/>
      <c r="G52" s="156"/>
      <c r="H52" s="81">
        <v>15</v>
      </c>
    </row>
    <row r="53" spans="1:15" ht="19.95" customHeight="1">
      <c r="A53" s="173" t="s">
        <v>138</v>
      </c>
      <c r="B53" s="173"/>
      <c r="C53" s="173"/>
      <c r="D53" s="173"/>
      <c r="E53" s="173"/>
      <c r="F53" s="173"/>
      <c r="G53" s="156"/>
      <c r="H53" s="81">
        <v>3</v>
      </c>
    </row>
    <row r="54" spans="1:15" ht="19.95" customHeight="1">
      <c r="A54" s="173" t="s">
        <v>139</v>
      </c>
      <c r="B54" s="173"/>
      <c r="C54" s="173"/>
      <c r="D54" s="173"/>
      <c r="E54" s="173"/>
      <c r="F54" s="173"/>
      <c r="G54" s="157"/>
      <c r="H54" s="81">
        <v>6</v>
      </c>
    </row>
    <row r="55" spans="1:15" ht="19.5" customHeight="1">
      <c r="A55" s="82"/>
      <c r="B55" s="82"/>
      <c r="C55" s="83"/>
      <c r="D55" s="84"/>
      <c r="E55" s="85"/>
      <c r="H55" s="3"/>
    </row>
    <row r="56" spans="1:15" s="7" customFormat="1" ht="19.95" customHeight="1">
      <c r="A56" s="19" t="s">
        <v>140</v>
      </c>
      <c r="B56" s="19"/>
      <c r="C56" s="19"/>
      <c r="D56" s="19"/>
      <c r="E56" s="19"/>
      <c r="F56" s="19"/>
      <c r="G56" s="19"/>
      <c r="H56" s="19"/>
      <c r="I56" s="19"/>
      <c r="J56" s="19"/>
      <c r="K56" s="19"/>
      <c r="L56" s="19"/>
      <c r="M56" s="19"/>
      <c r="N56" s="19"/>
      <c r="O56" s="19"/>
    </row>
    <row r="57" spans="1:15" ht="19.95" customHeight="1">
      <c r="A57" s="214"/>
      <c r="B57" s="185" t="s">
        <v>59</v>
      </c>
      <c r="C57" s="187" t="s">
        <v>141</v>
      </c>
      <c r="D57" s="188"/>
      <c r="E57" s="189" t="s">
        <v>142</v>
      </c>
      <c r="F57" s="190"/>
      <c r="G57" s="189" t="s">
        <v>143</v>
      </c>
      <c r="H57" s="190"/>
      <c r="I57" s="9"/>
    </row>
    <row r="58" spans="1:15" ht="18" customHeight="1">
      <c r="A58" s="214"/>
      <c r="B58" s="186"/>
      <c r="C58" s="86" t="s">
        <v>144</v>
      </c>
      <c r="D58" s="87" t="s">
        <v>145</v>
      </c>
      <c r="E58" s="86" t="s">
        <v>144</v>
      </c>
      <c r="F58" s="87" t="s">
        <v>145</v>
      </c>
      <c r="G58" s="86" t="s">
        <v>144</v>
      </c>
      <c r="H58" s="87" t="s">
        <v>145</v>
      </c>
    </row>
    <row r="59" spans="1:15" ht="21.75" customHeight="1">
      <c r="A59" s="88" t="s">
        <v>146</v>
      </c>
      <c r="B59" s="77" t="s">
        <v>147</v>
      </c>
      <c r="C59" s="89">
        <v>143636228660</v>
      </c>
      <c r="D59" s="90">
        <v>13709873806</v>
      </c>
      <c r="E59" s="89">
        <v>142124092450</v>
      </c>
      <c r="F59" s="90">
        <v>13267879738</v>
      </c>
      <c r="G59" s="89">
        <v>1512136210</v>
      </c>
      <c r="H59" s="90">
        <v>441994068</v>
      </c>
    </row>
    <row r="60" spans="1:15" ht="21.75" customHeight="1">
      <c r="A60" s="88" t="s">
        <v>148</v>
      </c>
      <c r="B60" s="77" t="s">
        <v>131</v>
      </c>
      <c r="C60" s="91">
        <v>20902.833333333369</v>
      </c>
      <c r="D60" s="92">
        <v>2397.0833333333371</v>
      </c>
      <c r="E60" s="93">
        <v>20478.416666666701</v>
      </c>
      <c r="F60" s="94">
        <v>2240.1666666666702</v>
      </c>
      <c r="G60" s="93">
        <v>424.41666666666703</v>
      </c>
      <c r="H60" s="94">
        <v>156.916666666667</v>
      </c>
    </row>
    <row r="61" spans="1:15" ht="21.75" customHeight="1">
      <c r="A61" s="88" t="s">
        <v>149</v>
      </c>
      <c r="B61" s="77" t="s">
        <v>147</v>
      </c>
      <c r="C61" s="95">
        <v>6871615</v>
      </c>
      <c r="D61" s="96">
        <v>5719398</v>
      </c>
      <c r="E61" s="95">
        <v>6940190</v>
      </c>
      <c r="F61" s="96">
        <v>5922720</v>
      </c>
      <c r="G61" s="95">
        <v>3562858</v>
      </c>
      <c r="H61" s="96">
        <v>2816744</v>
      </c>
    </row>
    <row r="62" spans="1:15" ht="21.75" customHeight="1">
      <c r="A62" s="97" t="s">
        <v>150</v>
      </c>
      <c r="B62" s="98" t="s">
        <v>88</v>
      </c>
      <c r="C62" s="215">
        <v>83.2</v>
      </c>
      <c r="D62" s="215"/>
      <c r="E62" s="216">
        <v>85.3</v>
      </c>
      <c r="F62" s="216"/>
      <c r="G62" s="215">
        <v>79.099999999999994</v>
      </c>
      <c r="H62" s="215"/>
    </row>
    <row r="63" spans="1:15" ht="19.5" customHeight="1">
      <c r="A63" s="99"/>
      <c r="B63" s="100"/>
      <c r="C63" s="101"/>
      <c r="D63" s="102"/>
      <c r="E63" s="74"/>
      <c r="H63" s="3"/>
    </row>
    <row r="64" spans="1:15" s="7" customFormat="1" ht="44.25" customHeight="1">
      <c r="A64" s="285" t="s">
        <v>151</v>
      </c>
      <c r="B64" s="286"/>
      <c r="C64" s="286"/>
      <c r="D64" s="286"/>
      <c r="E64" s="286"/>
      <c r="F64" s="286"/>
      <c r="G64" s="286"/>
      <c r="H64" s="286"/>
      <c r="I64" s="19"/>
      <c r="J64" s="19"/>
      <c r="K64" s="19"/>
      <c r="L64" s="19"/>
      <c r="M64" s="19"/>
      <c r="N64" s="19"/>
      <c r="O64" s="19"/>
    </row>
    <row r="65" spans="1:8" ht="30" customHeight="1">
      <c r="A65" s="294" t="s">
        <v>152</v>
      </c>
      <c r="B65" s="295"/>
      <c r="C65" s="193"/>
      <c r="D65" s="194"/>
      <c r="E65" s="103" t="s">
        <v>153</v>
      </c>
      <c r="F65" s="42" t="s">
        <v>60</v>
      </c>
      <c r="G65" s="42" t="s">
        <v>61</v>
      </c>
      <c r="H65" s="42" t="s">
        <v>62</v>
      </c>
    </row>
    <row r="66" spans="1:8" ht="29.4">
      <c r="A66" s="168" t="s">
        <v>154</v>
      </c>
      <c r="B66" s="219"/>
      <c r="C66" s="191" t="s">
        <v>155</v>
      </c>
      <c r="D66" s="192"/>
      <c r="E66" s="104" t="s">
        <v>156</v>
      </c>
      <c r="F66" s="50" t="s">
        <v>1</v>
      </c>
      <c r="G66" s="51" t="s">
        <v>2</v>
      </c>
      <c r="H66" s="51" t="s">
        <v>36</v>
      </c>
    </row>
    <row r="67" spans="1:8" ht="19.95" customHeight="1">
      <c r="A67" s="168" t="s">
        <v>290</v>
      </c>
      <c r="B67" s="219"/>
      <c r="C67" s="199" t="s">
        <v>116</v>
      </c>
      <c r="D67" s="200"/>
      <c r="E67" s="218" t="s">
        <v>156</v>
      </c>
      <c r="F67" s="43" t="s">
        <v>3</v>
      </c>
      <c r="G67" s="43" t="s">
        <v>47</v>
      </c>
      <c r="H67" s="43" t="s">
        <v>37</v>
      </c>
    </row>
    <row r="68" spans="1:8" ht="19.5" customHeight="1">
      <c r="A68" s="168"/>
      <c r="B68" s="219"/>
      <c r="C68" s="197" t="s">
        <v>119</v>
      </c>
      <c r="D68" s="198"/>
      <c r="E68" s="182"/>
      <c r="F68" s="44" t="s">
        <v>4</v>
      </c>
      <c r="G68" s="44" t="s">
        <v>5</v>
      </c>
      <c r="H68" s="44" t="s">
        <v>38</v>
      </c>
    </row>
    <row r="69" spans="1:8" ht="19.95" customHeight="1">
      <c r="A69" s="168"/>
      <c r="B69" s="219"/>
      <c r="C69" s="195" t="s">
        <v>157</v>
      </c>
      <c r="D69" s="196"/>
      <c r="E69" s="183"/>
      <c r="F69" s="45" t="s">
        <v>6</v>
      </c>
      <c r="G69" s="45" t="s">
        <v>7</v>
      </c>
      <c r="H69" s="45" t="s">
        <v>39</v>
      </c>
    </row>
    <row r="70" spans="1:8" ht="19.95" customHeight="1">
      <c r="A70" s="168" t="s">
        <v>158</v>
      </c>
      <c r="B70" s="219"/>
      <c r="C70" s="296" t="s">
        <v>116</v>
      </c>
      <c r="D70" s="297"/>
      <c r="E70" s="105" t="s">
        <v>77</v>
      </c>
      <c r="F70" s="106" t="s">
        <v>0</v>
      </c>
      <c r="G70" s="51">
        <v>88</v>
      </c>
      <c r="H70" s="51">
        <v>167</v>
      </c>
    </row>
    <row r="71" spans="1:8" ht="19.95" customHeight="1">
      <c r="A71" s="168" t="s">
        <v>291</v>
      </c>
      <c r="B71" s="219"/>
      <c r="C71" s="199" t="s">
        <v>116</v>
      </c>
      <c r="D71" s="200"/>
      <c r="E71" s="184" t="s">
        <v>77</v>
      </c>
      <c r="F71" s="52">
        <v>57</v>
      </c>
      <c r="G71" s="43">
        <v>117</v>
      </c>
      <c r="H71" s="43">
        <v>131</v>
      </c>
    </row>
    <row r="72" spans="1:8" ht="19.95" customHeight="1">
      <c r="A72" s="168"/>
      <c r="B72" s="219"/>
      <c r="C72" s="197" t="s">
        <v>119</v>
      </c>
      <c r="D72" s="198"/>
      <c r="E72" s="217"/>
      <c r="F72" s="53">
        <v>101</v>
      </c>
      <c r="G72" s="44">
        <v>108</v>
      </c>
      <c r="H72" s="44">
        <v>100</v>
      </c>
    </row>
    <row r="73" spans="1:8" ht="19.95" customHeight="1">
      <c r="A73" s="168"/>
      <c r="B73" s="219"/>
      <c r="C73" s="195" t="s">
        <v>157</v>
      </c>
      <c r="D73" s="196"/>
      <c r="E73" s="288"/>
      <c r="F73" s="54">
        <v>158</v>
      </c>
      <c r="G73" s="45">
        <v>225</v>
      </c>
      <c r="H73" s="45">
        <v>231</v>
      </c>
    </row>
    <row r="74" spans="1:8" ht="19.95" customHeight="1">
      <c r="A74" s="168"/>
      <c r="B74" s="219"/>
      <c r="C74" s="203" t="s">
        <v>159</v>
      </c>
      <c r="D74" s="204"/>
      <c r="E74" s="213" t="s">
        <v>19</v>
      </c>
      <c r="F74" s="107">
        <v>98.1</v>
      </c>
      <c r="G74" s="108">
        <v>99.5</v>
      </c>
      <c r="H74" s="108">
        <v>98.4</v>
      </c>
    </row>
    <row r="75" spans="1:8" ht="30" customHeight="1">
      <c r="A75" s="168"/>
      <c r="B75" s="219"/>
      <c r="C75" s="201" t="s">
        <v>292</v>
      </c>
      <c r="D75" s="202"/>
      <c r="E75" s="213"/>
      <c r="F75" s="109">
        <v>97.7</v>
      </c>
      <c r="G75" s="109">
        <v>96.9</v>
      </c>
      <c r="H75" s="109">
        <v>97.5</v>
      </c>
    </row>
    <row r="76" spans="1:8" ht="19.95" customHeight="1">
      <c r="A76" s="169" t="s">
        <v>160</v>
      </c>
      <c r="B76" s="161"/>
      <c r="C76" s="199" t="s">
        <v>116</v>
      </c>
      <c r="D76" s="200"/>
      <c r="E76" s="182" t="s">
        <v>156</v>
      </c>
      <c r="F76" s="110" t="s">
        <v>8</v>
      </c>
      <c r="G76" s="111" t="s">
        <v>9</v>
      </c>
      <c r="H76" s="111" t="s">
        <v>40</v>
      </c>
    </row>
    <row r="77" spans="1:8" ht="19.95" customHeight="1">
      <c r="A77" s="169"/>
      <c r="B77" s="161"/>
      <c r="C77" s="197" t="s">
        <v>119</v>
      </c>
      <c r="D77" s="198"/>
      <c r="E77" s="182"/>
      <c r="F77" s="53" t="s">
        <v>10</v>
      </c>
      <c r="G77" s="44" t="s">
        <v>11</v>
      </c>
      <c r="H77" s="44" t="s">
        <v>41</v>
      </c>
    </row>
    <row r="78" spans="1:8" ht="19.95" customHeight="1">
      <c r="A78" s="169"/>
      <c r="B78" s="161"/>
      <c r="C78" s="195" t="s">
        <v>157</v>
      </c>
      <c r="D78" s="196"/>
      <c r="E78" s="183"/>
      <c r="F78" s="54" t="s">
        <v>12</v>
      </c>
      <c r="G78" s="45" t="s">
        <v>13</v>
      </c>
      <c r="H78" s="45" t="s">
        <v>42</v>
      </c>
    </row>
    <row r="79" spans="1:8" ht="42" customHeight="1">
      <c r="A79" s="166" t="s">
        <v>161</v>
      </c>
      <c r="B79" s="170"/>
      <c r="C79" s="251" t="s">
        <v>162</v>
      </c>
      <c r="D79" s="252"/>
      <c r="E79" s="184" t="s">
        <v>117</v>
      </c>
      <c r="F79" s="57">
        <v>523</v>
      </c>
      <c r="G79" s="58">
        <v>525</v>
      </c>
      <c r="H79" s="58">
        <v>511</v>
      </c>
    </row>
    <row r="80" spans="1:8" ht="49.5" customHeight="1">
      <c r="A80" s="166"/>
      <c r="B80" s="170"/>
      <c r="C80" s="249" t="s">
        <v>163</v>
      </c>
      <c r="D80" s="250"/>
      <c r="E80" s="183"/>
      <c r="F80" s="54">
        <v>17</v>
      </c>
      <c r="G80" s="45">
        <v>14</v>
      </c>
      <c r="H80" s="45">
        <v>10</v>
      </c>
    </row>
    <row r="81" spans="1:8" ht="19.95" customHeight="1">
      <c r="A81" s="169" t="s">
        <v>164</v>
      </c>
      <c r="B81" s="161"/>
      <c r="C81" s="199" t="s">
        <v>116</v>
      </c>
      <c r="D81" s="200"/>
      <c r="E81" s="217" t="s">
        <v>156</v>
      </c>
      <c r="F81" s="52" t="s">
        <v>14</v>
      </c>
      <c r="G81" s="43" t="s">
        <v>15</v>
      </c>
      <c r="H81" s="43" t="s">
        <v>43</v>
      </c>
    </row>
    <row r="82" spans="1:8" ht="19.95" customHeight="1">
      <c r="A82" s="169"/>
      <c r="B82" s="161"/>
      <c r="C82" s="197" t="s">
        <v>119</v>
      </c>
      <c r="D82" s="198"/>
      <c r="E82" s="182"/>
      <c r="F82" s="53" t="s">
        <v>20</v>
      </c>
      <c r="G82" s="44" t="s">
        <v>16</v>
      </c>
      <c r="H82" s="44" t="s">
        <v>44</v>
      </c>
    </row>
    <row r="83" spans="1:8" ht="19.95" customHeight="1">
      <c r="A83" s="169"/>
      <c r="B83" s="161"/>
      <c r="C83" s="195" t="s">
        <v>157</v>
      </c>
      <c r="D83" s="196"/>
      <c r="E83" s="183"/>
      <c r="F83" s="54" t="s">
        <v>17</v>
      </c>
      <c r="G83" s="45" t="s">
        <v>18</v>
      </c>
      <c r="H83" s="45" t="s">
        <v>45</v>
      </c>
    </row>
    <row r="84" spans="1:8" ht="19.95" customHeight="1">
      <c r="A84" s="169" t="s">
        <v>165</v>
      </c>
      <c r="B84" s="161"/>
      <c r="C84" s="199" t="s">
        <v>116</v>
      </c>
      <c r="D84" s="200"/>
      <c r="E84" s="184" t="s">
        <v>117</v>
      </c>
      <c r="F84" s="52">
        <v>7</v>
      </c>
      <c r="G84" s="43">
        <v>5</v>
      </c>
      <c r="H84" s="43">
        <v>4</v>
      </c>
    </row>
    <row r="85" spans="1:8" ht="19.95" customHeight="1">
      <c r="A85" s="169"/>
      <c r="B85" s="161"/>
      <c r="C85" s="197" t="s">
        <v>119</v>
      </c>
      <c r="D85" s="198"/>
      <c r="E85" s="217"/>
      <c r="F85" s="53">
        <v>1</v>
      </c>
      <c r="G85" s="44">
        <v>2</v>
      </c>
      <c r="H85" s="44">
        <v>1</v>
      </c>
    </row>
    <row r="86" spans="1:8" ht="19.95" customHeight="1">
      <c r="A86" s="169"/>
      <c r="B86" s="161"/>
      <c r="C86" s="195" t="s">
        <v>157</v>
      </c>
      <c r="D86" s="196"/>
      <c r="E86" s="288"/>
      <c r="F86" s="54">
        <v>8</v>
      </c>
      <c r="G86" s="45">
        <v>7</v>
      </c>
      <c r="H86" s="45">
        <v>5</v>
      </c>
    </row>
    <row r="87" spans="1:8" ht="19.95" customHeight="1">
      <c r="A87" s="168" t="s">
        <v>166</v>
      </c>
      <c r="B87" s="219"/>
      <c r="C87" s="191" t="s">
        <v>167</v>
      </c>
      <c r="D87" s="192"/>
      <c r="E87" s="105" t="s">
        <v>117</v>
      </c>
      <c r="F87" s="50">
        <v>11351</v>
      </c>
      <c r="G87" s="51">
        <v>11266</v>
      </c>
      <c r="H87" s="51">
        <v>10752</v>
      </c>
    </row>
    <row r="88" spans="1:8" ht="36" customHeight="1">
      <c r="A88" s="253" t="s">
        <v>168</v>
      </c>
      <c r="B88" s="254"/>
      <c r="C88" s="248" t="s">
        <v>169</v>
      </c>
      <c r="D88" s="204"/>
      <c r="E88" s="218" t="s">
        <v>156</v>
      </c>
      <c r="F88" s="43" t="s">
        <v>170</v>
      </c>
      <c r="G88" s="43" t="s">
        <v>22</v>
      </c>
      <c r="H88" s="43" t="s">
        <v>23</v>
      </c>
    </row>
    <row r="89" spans="1:8" ht="19.95" customHeight="1">
      <c r="A89" s="253"/>
      <c r="B89" s="254"/>
      <c r="C89" s="112"/>
      <c r="D89" s="113" t="s">
        <v>116</v>
      </c>
      <c r="E89" s="182"/>
      <c r="F89" s="44" t="s">
        <v>24</v>
      </c>
      <c r="G89" s="44" t="s">
        <v>25</v>
      </c>
      <c r="H89" s="44" t="s">
        <v>26</v>
      </c>
    </row>
    <row r="90" spans="1:8" ht="19.95" customHeight="1">
      <c r="A90" s="253"/>
      <c r="B90" s="254"/>
      <c r="C90" s="114"/>
      <c r="D90" s="114" t="s">
        <v>119</v>
      </c>
      <c r="E90" s="182"/>
      <c r="F90" s="45" t="s">
        <v>27</v>
      </c>
      <c r="G90" s="45" t="s">
        <v>28</v>
      </c>
      <c r="H90" s="45" t="s">
        <v>29</v>
      </c>
    </row>
    <row r="91" spans="1:8" ht="40.200000000000003" customHeight="1">
      <c r="A91" s="253"/>
      <c r="B91" s="254"/>
      <c r="C91" s="246" t="s">
        <v>171</v>
      </c>
      <c r="D91" s="247"/>
      <c r="E91" s="182"/>
      <c r="F91" s="58" t="s">
        <v>172</v>
      </c>
      <c r="G91" s="58" t="s">
        <v>30</v>
      </c>
      <c r="H91" s="58" t="s">
        <v>31</v>
      </c>
    </row>
    <row r="92" spans="1:8" ht="19.95" customHeight="1">
      <c r="A92" s="253"/>
      <c r="B92" s="254"/>
      <c r="C92" s="115"/>
      <c r="D92" s="116" t="s">
        <v>116</v>
      </c>
      <c r="E92" s="182"/>
      <c r="F92" s="117" t="s">
        <v>173</v>
      </c>
      <c r="G92" s="117" t="s">
        <v>32</v>
      </c>
      <c r="H92" s="117" t="s">
        <v>33</v>
      </c>
    </row>
    <row r="93" spans="1:8" ht="19.95" customHeight="1">
      <c r="A93" s="253"/>
      <c r="B93" s="254"/>
      <c r="C93" s="114"/>
      <c r="D93" s="114" t="s">
        <v>119</v>
      </c>
      <c r="E93" s="183"/>
      <c r="F93" s="45" t="s">
        <v>174</v>
      </c>
      <c r="G93" s="45" t="s">
        <v>34</v>
      </c>
      <c r="H93" s="45" t="s">
        <v>35</v>
      </c>
    </row>
    <row r="94" spans="1:8" ht="19.95" customHeight="1">
      <c r="A94" s="168" t="s">
        <v>175</v>
      </c>
      <c r="B94" s="219"/>
      <c r="C94" s="191" t="s">
        <v>176</v>
      </c>
      <c r="D94" s="192"/>
      <c r="E94" s="184" t="s">
        <v>117</v>
      </c>
      <c r="F94" s="50">
        <v>43</v>
      </c>
      <c r="G94" s="51">
        <v>44</v>
      </c>
      <c r="H94" s="51">
        <v>40</v>
      </c>
    </row>
    <row r="95" spans="1:8" ht="19.95" customHeight="1">
      <c r="A95" s="168" t="s">
        <v>177</v>
      </c>
      <c r="B95" s="219"/>
      <c r="C95" s="191" t="s">
        <v>178</v>
      </c>
      <c r="D95" s="192"/>
      <c r="E95" s="182"/>
      <c r="F95" s="50">
        <v>0</v>
      </c>
      <c r="G95" s="51">
        <v>3</v>
      </c>
      <c r="H95" s="51">
        <v>0</v>
      </c>
    </row>
    <row r="96" spans="1:8" ht="30" customHeight="1">
      <c r="A96" s="169" t="s">
        <v>179</v>
      </c>
      <c r="B96" s="161"/>
      <c r="C96" s="191" t="s">
        <v>178</v>
      </c>
      <c r="D96" s="192"/>
      <c r="E96" s="182"/>
      <c r="F96" s="50">
        <v>25</v>
      </c>
      <c r="G96" s="51">
        <v>9</v>
      </c>
      <c r="H96" s="51">
        <v>6</v>
      </c>
    </row>
    <row r="97" spans="1:15" ht="19.95" customHeight="1">
      <c r="A97" s="168" t="s">
        <v>180</v>
      </c>
      <c r="B97" s="219"/>
      <c r="C97" s="191" t="s">
        <v>181</v>
      </c>
      <c r="D97" s="192"/>
      <c r="E97" s="182"/>
      <c r="F97" s="50">
        <v>4</v>
      </c>
      <c r="G97" s="51">
        <v>3</v>
      </c>
      <c r="H97" s="51">
        <v>2</v>
      </c>
    </row>
    <row r="98" spans="1:15" ht="19.95" customHeight="1">
      <c r="A98" s="168" t="s">
        <v>182</v>
      </c>
      <c r="B98" s="219"/>
      <c r="C98" s="191" t="s">
        <v>183</v>
      </c>
      <c r="D98" s="192"/>
      <c r="E98" s="182"/>
      <c r="F98" s="50">
        <v>529</v>
      </c>
      <c r="G98" s="106" t="s">
        <v>0</v>
      </c>
      <c r="H98" s="106" t="s">
        <v>46</v>
      </c>
    </row>
    <row r="99" spans="1:15" ht="19.95" customHeight="1">
      <c r="A99" s="169" t="s">
        <v>184</v>
      </c>
      <c r="B99" s="161"/>
      <c r="C99" s="191" t="s">
        <v>178</v>
      </c>
      <c r="D99" s="192"/>
      <c r="E99" s="183"/>
      <c r="F99" s="106" t="s">
        <v>0</v>
      </c>
      <c r="G99" s="106" t="s">
        <v>0</v>
      </c>
      <c r="H99" s="106" t="s">
        <v>46</v>
      </c>
    </row>
    <row r="100" spans="1:15" ht="30" customHeight="1">
      <c r="A100" s="168" t="s">
        <v>185</v>
      </c>
      <c r="B100" s="219"/>
      <c r="C100" s="223" t="s">
        <v>186</v>
      </c>
      <c r="D100" s="224"/>
      <c r="E100" s="118" t="s">
        <v>187</v>
      </c>
      <c r="F100" s="57">
        <v>8</v>
      </c>
      <c r="G100" s="58">
        <v>9</v>
      </c>
      <c r="H100" s="58">
        <v>13</v>
      </c>
    </row>
    <row r="101" spans="1:15" ht="30" customHeight="1">
      <c r="A101" s="168"/>
      <c r="B101" s="219"/>
      <c r="C101" s="221" t="s">
        <v>188</v>
      </c>
      <c r="D101" s="222"/>
      <c r="E101" s="119" t="s">
        <v>189</v>
      </c>
      <c r="F101" s="54">
        <v>316700</v>
      </c>
      <c r="G101" s="45">
        <v>349200</v>
      </c>
      <c r="H101" s="45">
        <v>380000</v>
      </c>
    </row>
    <row r="102" spans="1:15" ht="19.95" customHeight="1">
      <c r="A102" s="168" t="s">
        <v>190</v>
      </c>
      <c r="B102" s="219"/>
      <c r="C102" s="223" t="s">
        <v>191</v>
      </c>
      <c r="D102" s="224"/>
      <c r="E102" s="120" t="s">
        <v>19</v>
      </c>
      <c r="F102" s="59">
        <v>85.7</v>
      </c>
      <c r="G102" s="60">
        <v>92.1</v>
      </c>
      <c r="H102" s="60">
        <v>89.3</v>
      </c>
    </row>
    <row r="103" spans="1:15" ht="19.95" customHeight="1">
      <c r="A103" s="168"/>
      <c r="B103" s="219"/>
      <c r="C103" s="221" t="s">
        <v>192</v>
      </c>
      <c r="D103" s="222"/>
      <c r="E103" s="119" t="s">
        <v>193</v>
      </c>
      <c r="F103" s="61">
        <v>16.2</v>
      </c>
      <c r="G103" s="48">
        <v>17.5</v>
      </c>
      <c r="H103" s="48">
        <v>17</v>
      </c>
    </row>
    <row r="104" spans="1:15" s="24" customFormat="1" ht="30" customHeight="1">
      <c r="A104" s="225" t="s">
        <v>194</v>
      </c>
      <c r="B104" s="225"/>
      <c r="C104" s="225"/>
      <c r="D104" s="225"/>
      <c r="E104" s="225"/>
      <c r="F104" s="225"/>
      <c r="G104" s="225"/>
      <c r="H104" s="225"/>
      <c r="I104" s="29"/>
      <c r="J104" s="29"/>
      <c r="K104" s="29"/>
      <c r="L104" s="29"/>
      <c r="M104" s="29"/>
    </row>
    <row r="105" spans="1:15" s="20" customFormat="1" ht="30.75" customHeight="1">
      <c r="A105" s="220" t="s">
        <v>195</v>
      </c>
      <c r="B105" s="220"/>
      <c r="C105" s="220"/>
      <c r="D105" s="220"/>
      <c r="E105" s="220"/>
      <c r="F105" s="220"/>
      <c r="G105" s="220"/>
      <c r="H105" s="220"/>
      <c r="I105" s="29"/>
      <c r="J105" s="29"/>
      <c r="K105" s="29"/>
      <c r="L105" s="29"/>
      <c r="M105" s="29"/>
    </row>
    <row r="106" spans="1:15" s="24" customFormat="1" ht="33" customHeight="1">
      <c r="A106" s="220" t="s">
        <v>196</v>
      </c>
      <c r="B106" s="220"/>
      <c r="C106" s="220"/>
      <c r="D106" s="220"/>
      <c r="E106" s="220"/>
      <c r="F106" s="220"/>
      <c r="G106" s="220"/>
      <c r="H106" s="220"/>
    </row>
    <row r="107" spans="1:15" ht="19.5" customHeight="1"/>
    <row r="108" spans="1:15" s="7" customFormat="1" ht="19.95" customHeight="1">
      <c r="A108" s="18" t="s">
        <v>197</v>
      </c>
      <c r="B108" s="19"/>
      <c r="C108" s="19"/>
      <c r="D108" s="19"/>
      <c r="E108" s="19"/>
      <c r="F108" s="19"/>
      <c r="G108" s="19"/>
      <c r="H108" s="19"/>
      <c r="I108" s="19"/>
      <c r="J108" s="19"/>
      <c r="K108" s="19"/>
      <c r="L108" s="19"/>
      <c r="M108" s="19"/>
      <c r="N108" s="19"/>
      <c r="O108" s="19"/>
    </row>
    <row r="109" spans="1:15" s="4" customFormat="1" ht="30" customHeight="1">
      <c r="A109" s="227"/>
      <c r="B109" s="227"/>
      <c r="C109" s="227"/>
      <c r="D109" s="227"/>
      <c r="E109" s="227"/>
      <c r="F109" s="227"/>
      <c r="G109" s="103" t="s">
        <v>128</v>
      </c>
      <c r="H109" s="42" t="s">
        <v>62</v>
      </c>
    </row>
    <row r="110" spans="1:15" s="4" customFormat="1" ht="19.95" customHeight="1">
      <c r="A110" s="166" t="s">
        <v>198</v>
      </c>
      <c r="B110" s="166"/>
      <c r="C110" s="166"/>
      <c r="D110" s="166"/>
      <c r="E110" s="166"/>
      <c r="F110" s="166"/>
      <c r="G110" s="121" t="s">
        <v>199</v>
      </c>
      <c r="H110" s="122">
        <v>34.6</v>
      </c>
    </row>
    <row r="111" spans="1:15" s="4" customFormat="1" ht="19.95" customHeight="1">
      <c r="A111" s="166" t="s">
        <v>200</v>
      </c>
      <c r="B111" s="166"/>
      <c r="C111" s="166"/>
      <c r="D111" s="166"/>
      <c r="E111" s="166"/>
      <c r="F111" s="166"/>
      <c r="G111" s="121" t="s">
        <v>201</v>
      </c>
      <c r="H111" s="123">
        <v>43345</v>
      </c>
    </row>
    <row r="112" spans="1:15" s="4" customFormat="1" ht="19.95" customHeight="1">
      <c r="A112" s="173" t="s">
        <v>202</v>
      </c>
      <c r="B112" s="173"/>
      <c r="C112" s="173"/>
      <c r="D112" s="173"/>
      <c r="E112" s="173"/>
      <c r="F112" s="173"/>
      <c r="G112" s="121" t="s">
        <v>203</v>
      </c>
      <c r="H112" s="123">
        <v>6894</v>
      </c>
    </row>
    <row r="113" spans="1:15" s="23" customFormat="1" ht="38.25" customHeight="1">
      <c r="A113" s="226" t="s">
        <v>204</v>
      </c>
      <c r="B113" s="226"/>
      <c r="C113" s="226"/>
      <c r="D113" s="226"/>
      <c r="E113" s="226"/>
      <c r="F113" s="226"/>
      <c r="G113" s="226"/>
      <c r="H113" s="226"/>
    </row>
    <row r="114" spans="1:15" s="24" customFormat="1" ht="30" customHeight="1">
      <c r="A114" s="225" t="s">
        <v>205</v>
      </c>
      <c r="B114" s="225"/>
      <c r="C114" s="225"/>
      <c r="D114" s="225"/>
      <c r="E114" s="225"/>
      <c r="F114" s="225"/>
      <c r="G114" s="225"/>
      <c r="H114" s="225"/>
      <c r="I114" s="29"/>
      <c r="J114" s="29"/>
      <c r="K114" s="29"/>
      <c r="L114" s="29"/>
      <c r="M114" s="29"/>
    </row>
    <row r="115" spans="1:15" ht="19.5" customHeight="1"/>
    <row r="116" spans="1:15" ht="19.95" customHeight="1">
      <c r="A116" s="124" t="s">
        <v>206</v>
      </c>
      <c r="B116" s="19"/>
      <c r="C116" s="19"/>
      <c r="D116" s="19"/>
      <c r="E116" s="19"/>
      <c r="F116" s="19"/>
      <c r="G116" s="19"/>
      <c r="H116" s="19"/>
      <c r="I116" s="19"/>
      <c r="J116" s="19"/>
      <c r="K116" s="19"/>
      <c r="L116" s="19"/>
      <c r="M116" s="19"/>
      <c r="N116" s="19"/>
      <c r="O116" s="19"/>
    </row>
    <row r="117" spans="1:15" ht="29.4">
      <c r="A117" s="209"/>
      <c r="B117" s="209"/>
      <c r="C117" s="209"/>
      <c r="D117" s="42" t="s">
        <v>207</v>
      </c>
      <c r="E117" s="42" t="s">
        <v>208</v>
      </c>
      <c r="F117" s="42" t="s">
        <v>60</v>
      </c>
      <c r="G117" s="42" t="s">
        <v>61</v>
      </c>
      <c r="H117" s="42" t="s">
        <v>62</v>
      </c>
      <c r="I117" s="15"/>
    </row>
    <row r="118" spans="1:15" ht="19.95" customHeight="1">
      <c r="A118" s="208" t="s">
        <v>209</v>
      </c>
      <c r="B118" s="208"/>
      <c r="C118" s="208"/>
      <c r="D118" s="125">
        <v>0.16</v>
      </c>
      <c r="E118" s="125">
        <v>0.32</v>
      </c>
      <c r="F118" s="125">
        <v>0.13</v>
      </c>
      <c r="G118" s="126">
        <v>0.33</v>
      </c>
      <c r="H118" s="127">
        <v>0.4</v>
      </c>
      <c r="I118" s="10"/>
      <c r="J118" s="10"/>
      <c r="K118" s="16"/>
      <c r="L118" s="10"/>
      <c r="M118" s="10"/>
      <c r="N118" s="10"/>
    </row>
    <row r="119" spans="1:15" ht="19.95" customHeight="1">
      <c r="A119" s="173" t="s">
        <v>210</v>
      </c>
      <c r="B119" s="173"/>
      <c r="C119" s="173"/>
      <c r="D119" s="81">
        <v>0.51</v>
      </c>
      <c r="E119" s="81">
        <v>0.43</v>
      </c>
      <c r="F119" s="81">
        <v>0.42</v>
      </c>
      <c r="G119" s="81">
        <v>0.22</v>
      </c>
      <c r="H119" s="128" t="s">
        <v>211</v>
      </c>
      <c r="I119" s="14"/>
      <c r="J119" s="10"/>
      <c r="K119" s="16"/>
      <c r="L119" s="10"/>
      <c r="M119" s="10"/>
      <c r="N119" s="10"/>
    </row>
    <row r="120" spans="1:15" ht="19.95" customHeight="1">
      <c r="A120" s="173" t="s">
        <v>212</v>
      </c>
      <c r="B120" s="173"/>
      <c r="C120" s="173"/>
      <c r="D120" s="81">
        <v>0.06</v>
      </c>
      <c r="E120" s="81">
        <v>7.0000000000000007E-2</v>
      </c>
      <c r="F120" s="81">
        <v>0.13</v>
      </c>
      <c r="G120" s="81">
        <v>0.04</v>
      </c>
      <c r="H120" s="128" t="s">
        <v>213</v>
      </c>
      <c r="I120" s="14"/>
      <c r="J120" s="10"/>
      <c r="K120" s="10"/>
      <c r="L120" s="10"/>
      <c r="M120" s="10"/>
      <c r="N120" s="10"/>
    </row>
    <row r="121" spans="1:15" ht="19.95" customHeight="1">
      <c r="A121" s="173" t="s">
        <v>214</v>
      </c>
      <c r="B121" s="173"/>
      <c r="C121" s="173"/>
      <c r="D121" s="129" t="s">
        <v>21</v>
      </c>
      <c r="E121" s="129" t="s">
        <v>21</v>
      </c>
      <c r="F121" s="129" t="s">
        <v>21</v>
      </c>
      <c r="G121" s="130">
        <v>4.0000000000000001E-3</v>
      </c>
      <c r="H121" s="128">
        <v>3.0000000000000001E-3</v>
      </c>
      <c r="I121" s="10"/>
      <c r="J121" s="10"/>
      <c r="K121" s="10"/>
      <c r="L121" s="10"/>
      <c r="M121" s="10"/>
      <c r="N121" s="10"/>
    </row>
    <row r="122" spans="1:15" ht="63.75" customHeight="1">
      <c r="A122" s="284" t="s">
        <v>53</v>
      </c>
      <c r="B122" s="284"/>
      <c r="C122" s="284"/>
      <c r="D122" s="284"/>
      <c r="E122" s="284"/>
      <c r="F122" s="284"/>
      <c r="G122" s="284"/>
      <c r="H122" s="284"/>
    </row>
    <row r="123" spans="1:15" s="20" customFormat="1" ht="86.25" customHeight="1">
      <c r="A123" s="226" t="s">
        <v>54</v>
      </c>
      <c r="B123" s="287"/>
      <c r="C123" s="287"/>
      <c r="D123" s="287"/>
      <c r="E123" s="287"/>
      <c r="F123" s="287"/>
      <c r="G123" s="287"/>
      <c r="H123" s="287"/>
      <c r="I123" s="26"/>
      <c r="J123" s="26"/>
      <c r="K123" s="26"/>
      <c r="L123" s="26"/>
      <c r="M123" s="26"/>
    </row>
    <row r="124" spans="1:15" s="20" customFormat="1" ht="35.25" customHeight="1">
      <c r="A124" s="243" t="s">
        <v>51</v>
      </c>
      <c r="B124" s="243"/>
      <c r="C124" s="243"/>
      <c r="D124" s="243"/>
      <c r="E124" s="243"/>
      <c r="F124" s="243"/>
      <c r="G124" s="243"/>
      <c r="H124" s="243"/>
      <c r="I124" s="28"/>
      <c r="J124" s="28"/>
      <c r="K124" s="28"/>
      <c r="L124" s="28"/>
      <c r="M124" s="28"/>
    </row>
    <row r="125" spans="1:15" s="20" customFormat="1" ht="35.25" customHeight="1">
      <c r="A125" s="220" t="s">
        <v>52</v>
      </c>
      <c r="B125" s="220"/>
      <c r="C125" s="220"/>
      <c r="D125" s="220"/>
      <c r="E125" s="220"/>
      <c r="F125" s="220"/>
      <c r="G125" s="220"/>
      <c r="H125" s="220"/>
      <c r="I125" s="22"/>
      <c r="J125" s="22"/>
      <c r="K125" s="22"/>
      <c r="L125" s="22"/>
      <c r="M125" s="22"/>
    </row>
    <row r="126" spans="1:15" s="20" customFormat="1" ht="35.25" customHeight="1">
      <c r="A126" s="220" t="s">
        <v>215</v>
      </c>
      <c r="B126" s="220"/>
      <c r="C126" s="220"/>
      <c r="D126" s="220"/>
      <c r="E126" s="220"/>
      <c r="F126" s="220"/>
      <c r="G126" s="220"/>
      <c r="H126" s="220"/>
      <c r="I126" s="29"/>
      <c r="J126" s="29"/>
      <c r="K126" s="29"/>
    </row>
    <row r="127" spans="1:15" ht="19.5" customHeight="1"/>
    <row r="128" spans="1:15" ht="19.5" customHeight="1">
      <c r="A128" s="18" t="s">
        <v>216</v>
      </c>
      <c r="B128" s="19"/>
      <c r="C128" s="19"/>
      <c r="D128" s="19"/>
      <c r="E128" s="19"/>
      <c r="F128" s="19"/>
      <c r="G128" s="19"/>
      <c r="H128" s="19"/>
      <c r="I128" s="19"/>
      <c r="J128" s="19"/>
      <c r="K128" s="19"/>
      <c r="L128" s="19"/>
      <c r="M128" s="19"/>
      <c r="N128" s="19"/>
      <c r="O128" s="19"/>
    </row>
    <row r="129" spans="1:15" ht="27.75" customHeight="1">
      <c r="A129" s="131"/>
      <c r="B129" s="132"/>
      <c r="C129" s="133" t="s">
        <v>217</v>
      </c>
      <c r="D129" s="42" t="s">
        <v>207</v>
      </c>
      <c r="E129" s="42" t="s">
        <v>293</v>
      </c>
      <c r="F129" s="42" t="s">
        <v>60</v>
      </c>
      <c r="G129" s="42" t="s">
        <v>61</v>
      </c>
      <c r="H129" s="42" t="s">
        <v>62</v>
      </c>
      <c r="I129" s="9"/>
      <c r="J129" s="8"/>
      <c r="K129" s="8"/>
      <c r="L129" s="8"/>
      <c r="M129" s="8"/>
    </row>
    <row r="130" spans="1:15" ht="40.5" customHeight="1">
      <c r="A130" s="164" t="s">
        <v>218</v>
      </c>
      <c r="B130" s="134" t="s">
        <v>49</v>
      </c>
      <c r="C130" s="135" t="s">
        <v>219</v>
      </c>
      <c r="D130" s="298">
        <v>4016</v>
      </c>
      <c r="E130" s="298">
        <v>3564</v>
      </c>
      <c r="F130" s="299">
        <v>4232</v>
      </c>
      <c r="G130" s="51">
        <v>3950</v>
      </c>
      <c r="H130" s="51">
        <v>4386</v>
      </c>
      <c r="I130" s="10"/>
      <c r="J130" s="8"/>
      <c r="K130" s="8"/>
      <c r="L130" s="8"/>
      <c r="M130" s="8"/>
    </row>
    <row r="131" spans="1:15" ht="46.5" customHeight="1">
      <c r="A131" s="244"/>
      <c r="B131" s="134" t="s">
        <v>50</v>
      </c>
      <c r="C131" s="135" t="s">
        <v>219</v>
      </c>
      <c r="D131" s="137">
        <v>649</v>
      </c>
      <c r="E131" s="137">
        <v>332</v>
      </c>
      <c r="F131" s="137">
        <v>391</v>
      </c>
      <c r="G131" s="51">
        <v>446</v>
      </c>
      <c r="H131" s="51">
        <v>475</v>
      </c>
      <c r="I131" s="10"/>
      <c r="J131" s="8"/>
      <c r="K131" s="8"/>
      <c r="L131" s="8"/>
      <c r="M131" s="8"/>
    </row>
    <row r="132" spans="1:15" ht="19.5" customHeight="1">
      <c r="A132" s="239" t="s">
        <v>157</v>
      </c>
      <c r="B132" s="238"/>
      <c r="C132" s="135" t="s">
        <v>219</v>
      </c>
      <c r="D132" s="138">
        <f>SUM(D130:D131)</f>
        <v>4665</v>
      </c>
      <c r="E132" s="138">
        <f t="shared" ref="E132:H132" si="0">SUM(E130:E131)</f>
        <v>3896</v>
      </c>
      <c r="F132" s="138">
        <f t="shared" si="0"/>
        <v>4623</v>
      </c>
      <c r="G132" s="138">
        <f t="shared" si="0"/>
        <v>4396</v>
      </c>
      <c r="H132" s="138">
        <f t="shared" si="0"/>
        <v>4861</v>
      </c>
      <c r="I132" s="10"/>
      <c r="J132" s="8"/>
      <c r="K132" s="8"/>
      <c r="L132" s="8"/>
      <c r="M132" s="8"/>
    </row>
    <row r="133" spans="1:15" ht="19.5" customHeight="1"/>
    <row r="134" spans="1:15" s="7" customFormat="1" ht="19.95" customHeight="1">
      <c r="A134" s="18" t="s">
        <v>220</v>
      </c>
      <c r="B134" s="18"/>
      <c r="C134" s="18"/>
      <c r="D134" s="18"/>
      <c r="E134" s="18"/>
      <c r="F134" s="18"/>
      <c r="G134" s="18"/>
      <c r="H134" s="18"/>
      <c r="I134" s="18"/>
      <c r="J134" s="18"/>
      <c r="K134" s="18"/>
      <c r="L134" s="18"/>
      <c r="M134" s="18"/>
      <c r="N134" s="18"/>
      <c r="O134" s="18"/>
    </row>
    <row r="135" spans="1:15" s="5" customFormat="1" ht="29.4">
      <c r="A135" s="131"/>
      <c r="B135" s="245"/>
      <c r="C135" s="245"/>
      <c r="D135" s="188"/>
      <c r="E135" s="133" t="s">
        <v>217</v>
      </c>
      <c r="F135" s="42" t="s">
        <v>60</v>
      </c>
      <c r="G135" s="42" t="s">
        <v>61</v>
      </c>
      <c r="H135" s="42" t="s">
        <v>62</v>
      </c>
      <c r="I135" s="9"/>
    </row>
    <row r="136" spans="1:15" s="5" customFormat="1" ht="19.95" customHeight="1">
      <c r="A136" s="166" t="s">
        <v>221</v>
      </c>
      <c r="B136" s="168" t="s">
        <v>222</v>
      </c>
      <c r="C136" s="169"/>
      <c r="D136" s="169"/>
      <c r="E136" s="106" t="s">
        <v>0</v>
      </c>
      <c r="F136" s="81">
        <v>98.2</v>
      </c>
      <c r="G136" s="81">
        <v>98.2</v>
      </c>
      <c r="H136" s="81">
        <v>98.2</v>
      </c>
    </row>
    <row r="137" spans="1:15" s="5" customFormat="1" ht="19.95" customHeight="1">
      <c r="A137" s="166"/>
      <c r="B137" s="168" t="s">
        <v>223</v>
      </c>
      <c r="C137" s="169"/>
      <c r="D137" s="169"/>
      <c r="E137" s="106" t="s">
        <v>0</v>
      </c>
      <c r="F137" s="51">
        <v>86</v>
      </c>
      <c r="G137" s="51">
        <v>86</v>
      </c>
      <c r="H137" s="51">
        <v>86</v>
      </c>
    </row>
    <row r="138" spans="1:15" s="5" customFormat="1" ht="19.95" customHeight="1">
      <c r="A138" s="166"/>
      <c r="B138" s="168" t="s">
        <v>224</v>
      </c>
      <c r="C138" s="169"/>
      <c r="D138" s="169"/>
      <c r="E138" s="106" t="s">
        <v>0</v>
      </c>
      <c r="F138" s="62">
        <v>52.9</v>
      </c>
      <c r="G138" s="62">
        <v>52</v>
      </c>
      <c r="H138" s="62">
        <v>52.1</v>
      </c>
    </row>
    <row r="139" spans="1:15" s="5" customFormat="1" ht="19.95" customHeight="1">
      <c r="A139" s="166" t="s">
        <v>225</v>
      </c>
      <c r="B139" s="173" t="s">
        <v>226</v>
      </c>
      <c r="C139" s="166"/>
      <c r="D139" s="166"/>
      <c r="E139" s="98" t="s">
        <v>88</v>
      </c>
      <c r="F139" s="51">
        <v>29.6</v>
      </c>
      <c r="G139" s="51">
        <v>29.3</v>
      </c>
      <c r="H139" s="51">
        <v>28.9</v>
      </c>
    </row>
    <row r="140" spans="1:15" s="5" customFormat="1" ht="30" customHeight="1">
      <c r="A140" s="167"/>
      <c r="B140" s="173" t="s">
        <v>227</v>
      </c>
      <c r="C140" s="166"/>
      <c r="D140" s="166"/>
      <c r="E140" s="77" t="s">
        <v>228</v>
      </c>
      <c r="F140" s="51">
        <v>4249</v>
      </c>
      <c r="G140" s="51">
        <v>4440</v>
      </c>
      <c r="H140" s="51">
        <v>4144</v>
      </c>
    </row>
    <row r="141" spans="1:15" s="5" customFormat="1" ht="45.75" customHeight="1">
      <c r="A141" s="136" t="s">
        <v>229</v>
      </c>
      <c r="B141" s="166" t="s">
        <v>230</v>
      </c>
      <c r="C141" s="166"/>
      <c r="D141" s="166"/>
      <c r="E141" s="77" t="s">
        <v>231</v>
      </c>
      <c r="F141" s="51">
        <v>2307</v>
      </c>
      <c r="G141" s="51">
        <v>2687</v>
      </c>
      <c r="H141" s="51">
        <v>3030</v>
      </c>
    </row>
    <row r="142" spans="1:15" s="20" customFormat="1" ht="48.75" customHeight="1">
      <c r="A142" s="230" t="s">
        <v>232</v>
      </c>
      <c r="B142" s="230"/>
      <c r="C142" s="230"/>
      <c r="D142" s="230"/>
      <c r="E142" s="230"/>
      <c r="F142" s="230"/>
      <c r="G142" s="230"/>
      <c r="H142" s="230"/>
      <c r="I142" s="29"/>
      <c r="J142" s="29"/>
      <c r="K142" s="29"/>
      <c r="L142" s="29"/>
      <c r="M142" s="29"/>
    </row>
    <row r="143" spans="1:15" s="20" customFormat="1" ht="36.6" customHeight="1">
      <c r="A143" s="220" t="s">
        <v>233</v>
      </c>
      <c r="B143" s="220"/>
      <c r="C143" s="220"/>
      <c r="D143" s="220"/>
      <c r="E143" s="220"/>
      <c r="F143" s="220"/>
      <c r="G143" s="220"/>
      <c r="H143" s="220"/>
      <c r="I143" s="29"/>
      <c r="J143" s="29"/>
      <c r="K143" s="29"/>
      <c r="L143" s="29"/>
      <c r="M143" s="29"/>
    </row>
    <row r="144" spans="1:15" ht="19.5" customHeight="1"/>
    <row r="145" spans="1:15" s="1" customFormat="1" ht="19.95" customHeight="1">
      <c r="A145" s="18" t="s">
        <v>234</v>
      </c>
      <c r="B145" s="19"/>
      <c r="C145" s="19"/>
      <c r="D145" s="19"/>
      <c r="E145" s="19"/>
      <c r="F145" s="19"/>
      <c r="G145" s="19"/>
      <c r="H145" s="19"/>
      <c r="I145" s="19"/>
      <c r="J145" s="19"/>
      <c r="K145" s="19"/>
      <c r="L145" s="19"/>
      <c r="M145" s="19"/>
      <c r="N145" s="19"/>
      <c r="O145" s="19"/>
    </row>
    <row r="146" spans="1:15" ht="30" customHeight="1">
      <c r="A146" s="205"/>
      <c r="B146" s="205"/>
      <c r="C146" s="205"/>
      <c r="D146" s="205"/>
      <c r="E146" s="205"/>
      <c r="F146" s="205"/>
      <c r="G146" s="133" t="s">
        <v>217</v>
      </c>
      <c r="H146" s="42" t="s">
        <v>62</v>
      </c>
    </row>
    <row r="147" spans="1:15" ht="19.95" customHeight="1">
      <c r="A147" s="173" t="s">
        <v>235</v>
      </c>
      <c r="B147" s="173"/>
      <c r="C147" s="173"/>
      <c r="D147" s="173"/>
      <c r="E147" s="173"/>
      <c r="F147" s="173"/>
      <c r="G147" s="155" t="s">
        <v>236</v>
      </c>
      <c r="H147" s="51">
        <v>30724</v>
      </c>
    </row>
    <row r="148" spans="1:15" ht="19.95" customHeight="1">
      <c r="A148" s="173" t="s">
        <v>237</v>
      </c>
      <c r="B148" s="173"/>
      <c r="C148" s="173"/>
      <c r="D148" s="173"/>
      <c r="E148" s="173"/>
      <c r="F148" s="173"/>
      <c r="G148" s="156"/>
      <c r="H148" s="51">
        <v>4006</v>
      </c>
    </row>
    <row r="149" spans="1:15" ht="19.95" customHeight="1">
      <c r="A149" s="173" t="s">
        <v>238</v>
      </c>
      <c r="B149" s="173"/>
      <c r="C149" s="173"/>
      <c r="D149" s="173"/>
      <c r="E149" s="173"/>
      <c r="F149" s="173"/>
      <c r="G149" s="156"/>
      <c r="H149" s="51">
        <v>945</v>
      </c>
    </row>
    <row r="150" spans="1:15" ht="19.95" customHeight="1">
      <c r="A150" s="173" t="s">
        <v>239</v>
      </c>
      <c r="B150" s="173"/>
      <c r="C150" s="173"/>
      <c r="D150" s="173"/>
      <c r="E150" s="173"/>
      <c r="F150" s="173"/>
      <c r="G150" s="157"/>
      <c r="H150" s="51">
        <f>SUM(H147:H149)</f>
        <v>35675</v>
      </c>
    </row>
    <row r="151" spans="1:15" ht="19.5" customHeight="1">
      <c r="G151" s="139"/>
      <c r="H151" s="4"/>
    </row>
    <row r="152" spans="1:15" s="1" customFormat="1" ht="19.95" customHeight="1">
      <c r="A152" s="18" t="s">
        <v>240</v>
      </c>
      <c r="B152" s="19"/>
      <c r="C152" s="19"/>
      <c r="D152" s="19"/>
      <c r="E152" s="19"/>
      <c r="F152" s="19"/>
      <c r="G152" s="19"/>
      <c r="H152" s="19"/>
      <c r="I152" s="19"/>
      <c r="J152" s="19"/>
      <c r="K152" s="19"/>
      <c r="L152" s="19"/>
      <c r="M152" s="19"/>
      <c r="N152" s="19"/>
      <c r="O152" s="19"/>
    </row>
    <row r="153" spans="1:15" ht="30" customHeight="1">
      <c r="A153" s="240"/>
      <c r="B153" s="241"/>
      <c r="C153" s="241"/>
      <c r="D153" s="241"/>
      <c r="E153" s="241"/>
      <c r="F153" s="242"/>
      <c r="G153" s="41" t="s">
        <v>241</v>
      </c>
      <c r="H153" s="42" t="s">
        <v>62</v>
      </c>
    </row>
    <row r="154" spans="1:15" ht="19.95" customHeight="1">
      <c r="A154" s="239" t="s">
        <v>242</v>
      </c>
      <c r="B154" s="237"/>
      <c r="C154" s="237"/>
      <c r="D154" s="237"/>
      <c r="E154" s="237"/>
      <c r="F154" s="238"/>
      <c r="G154" s="77" t="s">
        <v>236</v>
      </c>
      <c r="H154" s="50">
        <v>5</v>
      </c>
    </row>
    <row r="155" spans="1:15" ht="19.95" customHeight="1">
      <c r="A155" s="236" t="s">
        <v>243</v>
      </c>
      <c r="B155" s="237"/>
      <c r="C155" s="237"/>
      <c r="D155" s="237"/>
      <c r="E155" s="237"/>
      <c r="F155" s="238"/>
      <c r="G155" s="77" t="s">
        <v>244</v>
      </c>
      <c r="H155" s="62">
        <v>21.6</v>
      </c>
    </row>
    <row r="156" spans="1:15" ht="19.5" customHeight="1">
      <c r="G156" s="139"/>
      <c r="H156" s="4"/>
    </row>
    <row r="157" spans="1:15" s="7" customFormat="1" ht="19.95" customHeight="1">
      <c r="A157" s="18" t="s">
        <v>245</v>
      </c>
      <c r="B157" s="19"/>
      <c r="C157" s="19"/>
      <c r="D157" s="19"/>
      <c r="E157" s="19"/>
      <c r="F157" s="19"/>
      <c r="G157" s="19"/>
      <c r="H157" s="19"/>
      <c r="I157" s="19"/>
      <c r="J157" s="19"/>
      <c r="K157" s="19"/>
      <c r="L157" s="19"/>
      <c r="M157" s="19"/>
      <c r="N157" s="19"/>
      <c r="O157" s="19"/>
    </row>
    <row r="158" spans="1:15" ht="30" customHeight="1">
      <c r="A158" s="181"/>
      <c r="B158" s="181"/>
      <c r="C158" s="181"/>
      <c r="D158" s="181"/>
      <c r="E158" s="181"/>
      <c r="F158" s="181"/>
      <c r="G158" s="133" t="s">
        <v>246</v>
      </c>
      <c r="H158" s="42" t="s">
        <v>62</v>
      </c>
    </row>
    <row r="159" spans="1:15" ht="19.95" customHeight="1">
      <c r="A159" s="173" t="s">
        <v>247</v>
      </c>
      <c r="B159" s="173"/>
      <c r="C159" s="173"/>
      <c r="D159" s="173"/>
      <c r="E159" s="173"/>
      <c r="F159" s="173"/>
      <c r="G159" s="178" t="s">
        <v>294</v>
      </c>
      <c r="H159" s="140">
        <v>1687846841</v>
      </c>
    </row>
    <row r="160" spans="1:15" ht="19.95" customHeight="1">
      <c r="A160" s="173" t="s">
        <v>248</v>
      </c>
      <c r="B160" s="173"/>
      <c r="C160" s="173"/>
      <c r="D160" s="173"/>
      <c r="E160" s="173"/>
      <c r="F160" s="173"/>
      <c r="G160" s="179"/>
      <c r="H160" s="140">
        <v>373127727</v>
      </c>
    </row>
    <row r="161" spans="1:15" ht="19.95" customHeight="1">
      <c r="A161" s="173" t="s">
        <v>249</v>
      </c>
      <c r="B161" s="173"/>
      <c r="C161" s="173"/>
      <c r="D161" s="173"/>
      <c r="E161" s="173"/>
      <c r="F161" s="173"/>
      <c r="G161" s="179"/>
      <c r="H161" s="140">
        <v>71989512</v>
      </c>
    </row>
    <row r="162" spans="1:15" ht="19.95" customHeight="1">
      <c r="A162" s="173" t="s">
        <v>250</v>
      </c>
      <c r="B162" s="173"/>
      <c r="C162" s="173"/>
      <c r="D162" s="173"/>
      <c r="E162" s="173"/>
      <c r="F162" s="173"/>
      <c r="G162" s="179"/>
      <c r="H162" s="140">
        <v>600058492</v>
      </c>
    </row>
    <row r="163" spans="1:15" ht="19.95" customHeight="1">
      <c r="A163" s="173" t="s">
        <v>239</v>
      </c>
      <c r="B163" s="173"/>
      <c r="C163" s="173"/>
      <c r="D163" s="173"/>
      <c r="E163" s="173"/>
      <c r="F163" s="173"/>
      <c r="G163" s="180"/>
      <c r="H163" s="141">
        <f>SUM(H159:H162)</f>
        <v>2733022572</v>
      </c>
    </row>
    <row r="164" spans="1:15" s="20" customFormat="1" ht="30" customHeight="1">
      <c r="A164" s="230" t="s">
        <v>251</v>
      </c>
      <c r="B164" s="230"/>
      <c r="C164" s="230"/>
      <c r="D164" s="230"/>
      <c r="E164" s="230"/>
      <c r="F164" s="230"/>
      <c r="G164" s="230"/>
      <c r="H164" s="230"/>
      <c r="I164" s="29"/>
      <c r="J164" s="29"/>
      <c r="K164" s="29"/>
      <c r="L164" s="29"/>
      <c r="M164" s="29"/>
    </row>
    <row r="165" spans="1:15" ht="19.5" customHeight="1">
      <c r="D165" s="142"/>
      <c r="E165" s="142"/>
      <c r="F165" s="142"/>
      <c r="G165" s="143"/>
      <c r="H165" s="142"/>
    </row>
    <row r="166" spans="1:15" s="7" customFormat="1" ht="19.95" customHeight="1">
      <c r="A166" s="18" t="s">
        <v>252</v>
      </c>
      <c r="B166" s="19"/>
      <c r="C166" s="19"/>
      <c r="D166" s="19"/>
      <c r="E166" s="19"/>
      <c r="F166" s="19"/>
      <c r="G166" s="19"/>
      <c r="H166" s="19"/>
      <c r="I166" s="19"/>
      <c r="J166" s="19"/>
      <c r="K166" s="19"/>
      <c r="L166" s="19"/>
      <c r="M166" s="19"/>
      <c r="N166" s="19"/>
      <c r="O166" s="19"/>
    </row>
    <row r="167" spans="1:15" ht="30" customHeight="1">
      <c r="A167" s="205"/>
      <c r="B167" s="205"/>
      <c r="C167" s="205"/>
      <c r="D167" s="205"/>
      <c r="E167" s="205"/>
      <c r="F167" s="205"/>
      <c r="G167" s="103" t="s">
        <v>128</v>
      </c>
      <c r="H167" s="42" t="s">
        <v>62</v>
      </c>
    </row>
    <row r="168" spans="1:15" ht="19.95" customHeight="1">
      <c r="A168" s="173" t="s">
        <v>253</v>
      </c>
      <c r="B168" s="173"/>
      <c r="C168" s="173"/>
      <c r="D168" s="173"/>
      <c r="E168" s="173"/>
      <c r="F168" s="173"/>
      <c r="G168" s="155" t="s">
        <v>231</v>
      </c>
      <c r="H168" s="51">
        <v>43</v>
      </c>
    </row>
    <row r="169" spans="1:15" ht="19.95" customHeight="1">
      <c r="A169" s="173" t="s">
        <v>254</v>
      </c>
      <c r="B169" s="173"/>
      <c r="C169" s="173"/>
      <c r="D169" s="173"/>
      <c r="E169" s="173"/>
      <c r="F169" s="173"/>
      <c r="G169" s="156"/>
      <c r="H169" s="51">
        <v>5</v>
      </c>
    </row>
    <row r="170" spans="1:15" ht="19.95" customHeight="1">
      <c r="A170" s="173" t="s">
        <v>255</v>
      </c>
      <c r="B170" s="173"/>
      <c r="C170" s="173"/>
      <c r="D170" s="173"/>
      <c r="E170" s="173"/>
      <c r="F170" s="173"/>
      <c r="G170" s="156"/>
      <c r="H170" s="51">
        <v>14</v>
      </c>
    </row>
    <row r="171" spans="1:15" ht="19.95" customHeight="1">
      <c r="A171" s="173" t="s">
        <v>157</v>
      </c>
      <c r="B171" s="173"/>
      <c r="C171" s="173"/>
      <c r="D171" s="173"/>
      <c r="E171" s="173"/>
      <c r="F171" s="173"/>
      <c r="G171" s="157"/>
      <c r="H171" s="51">
        <v>62</v>
      </c>
    </row>
    <row r="172" spans="1:15" ht="19.5" customHeight="1">
      <c r="G172" s="139"/>
      <c r="H172" s="4"/>
    </row>
    <row r="173" spans="1:15" s="7" customFormat="1" ht="19.95" customHeight="1">
      <c r="A173" s="18" t="s">
        <v>256</v>
      </c>
      <c r="B173" s="19"/>
      <c r="C173" s="19"/>
      <c r="D173" s="19"/>
      <c r="E173" s="19"/>
      <c r="F173" s="19"/>
      <c r="G173" s="19"/>
      <c r="H173" s="19"/>
      <c r="I173" s="19"/>
      <c r="J173" s="19"/>
      <c r="K173" s="19"/>
      <c r="L173" s="19"/>
      <c r="M173" s="19"/>
      <c r="N173" s="19"/>
      <c r="O173" s="19"/>
    </row>
    <row r="174" spans="1:15" s="6" customFormat="1" ht="30" customHeight="1">
      <c r="A174" s="228"/>
      <c r="B174" s="228"/>
      <c r="C174" s="228"/>
      <c r="D174" s="228"/>
      <c r="E174" s="228"/>
      <c r="F174" s="228"/>
      <c r="G174" s="103" t="s">
        <v>128</v>
      </c>
      <c r="H174" s="42" t="s">
        <v>62</v>
      </c>
    </row>
    <row r="175" spans="1:15" s="6" customFormat="1" ht="19.95" customHeight="1">
      <c r="A175" s="173" t="s">
        <v>257</v>
      </c>
      <c r="B175" s="173"/>
      <c r="C175" s="173"/>
      <c r="D175" s="173"/>
      <c r="E175" s="173"/>
      <c r="F175" s="173"/>
      <c r="G175" s="155" t="s">
        <v>231</v>
      </c>
      <c r="H175" s="81">
        <v>26</v>
      </c>
    </row>
    <row r="176" spans="1:15" s="6" customFormat="1" ht="19.95" customHeight="1">
      <c r="A176" s="173" t="s">
        <v>258</v>
      </c>
      <c r="B176" s="173"/>
      <c r="C176" s="173"/>
      <c r="D176" s="173"/>
      <c r="E176" s="173"/>
      <c r="F176" s="173"/>
      <c r="G176" s="156"/>
      <c r="H176" s="51">
        <v>20</v>
      </c>
    </row>
    <row r="177" spans="1:15" s="6" customFormat="1" ht="19.95" customHeight="1">
      <c r="A177" s="173" t="s">
        <v>259</v>
      </c>
      <c r="B177" s="173"/>
      <c r="C177" s="173"/>
      <c r="D177" s="173"/>
      <c r="E177" s="173"/>
      <c r="F177" s="173"/>
      <c r="G177" s="156"/>
      <c r="H177" s="51">
        <v>7</v>
      </c>
    </row>
    <row r="178" spans="1:15" s="6" customFormat="1" ht="19.95" customHeight="1">
      <c r="A178" s="173" t="s">
        <v>239</v>
      </c>
      <c r="B178" s="173"/>
      <c r="C178" s="173"/>
      <c r="D178" s="173"/>
      <c r="E178" s="173"/>
      <c r="F178" s="173"/>
      <c r="G178" s="157"/>
      <c r="H178" s="51">
        <f>SUM(H175:H177)</f>
        <v>53</v>
      </c>
    </row>
    <row r="179" spans="1:15" s="20" customFormat="1" ht="30" customHeight="1">
      <c r="A179" s="230" t="s">
        <v>260</v>
      </c>
      <c r="B179" s="230"/>
      <c r="C179" s="230"/>
      <c r="D179" s="230"/>
      <c r="E179" s="230"/>
      <c r="F179" s="230"/>
      <c r="G179" s="230"/>
      <c r="H179" s="230"/>
      <c r="I179" s="29"/>
      <c r="J179" s="29"/>
      <c r="K179" s="29"/>
      <c r="L179" s="29"/>
      <c r="M179" s="29"/>
    </row>
    <row r="180" spans="1:15" ht="19.5" customHeight="1">
      <c r="D180" s="142"/>
      <c r="E180" s="142"/>
      <c r="F180" s="142"/>
      <c r="G180" s="143"/>
      <c r="H180" s="142"/>
    </row>
    <row r="181" spans="1:15" s="7" customFormat="1" ht="19.95" customHeight="1">
      <c r="A181" s="18" t="s">
        <v>261</v>
      </c>
      <c r="B181" s="19"/>
      <c r="C181" s="19"/>
      <c r="D181" s="19"/>
      <c r="E181" s="19"/>
      <c r="F181" s="19"/>
      <c r="G181" s="19"/>
      <c r="H181" s="19"/>
      <c r="I181" s="19"/>
      <c r="J181" s="19"/>
      <c r="K181" s="19"/>
      <c r="L181" s="19"/>
      <c r="M181" s="19"/>
      <c r="N181" s="19"/>
      <c r="O181" s="19"/>
    </row>
    <row r="182" spans="1:15" ht="30" customHeight="1">
      <c r="A182" s="144" t="s">
        <v>262</v>
      </c>
      <c r="B182" s="158" t="s">
        <v>263</v>
      </c>
      <c r="C182" s="159"/>
      <c r="D182" s="160"/>
      <c r="E182" s="145" t="s">
        <v>153</v>
      </c>
      <c r="F182" s="42" t="s">
        <v>60</v>
      </c>
      <c r="G182" s="42" t="s">
        <v>61</v>
      </c>
      <c r="H182" s="42" t="s">
        <v>62</v>
      </c>
      <c r="I182" s="9"/>
    </row>
    <row r="183" spans="1:15" ht="30" customHeight="1">
      <c r="A183" s="146" t="s">
        <v>264</v>
      </c>
      <c r="B183" s="161" t="s">
        <v>265</v>
      </c>
      <c r="C183" s="162"/>
      <c r="D183" s="163"/>
      <c r="E183" s="174" t="s">
        <v>88</v>
      </c>
      <c r="F183" s="50">
        <v>54</v>
      </c>
      <c r="G183" s="50">
        <v>51</v>
      </c>
      <c r="H183" s="50">
        <v>48</v>
      </c>
    </row>
    <row r="184" spans="1:15" ht="30" customHeight="1">
      <c r="A184" s="164" t="s">
        <v>266</v>
      </c>
      <c r="B184" s="170" t="s">
        <v>267</v>
      </c>
      <c r="C184" s="171"/>
      <c r="D184" s="172"/>
      <c r="E184" s="156"/>
      <c r="F184" s="50">
        <v>86</v>
      </c>
      <c r="G184" s="50">
        <v>81.400000000000006</v>
      </c>
      <c r="H184" s="50">
        <v>77</v>
      </c>
    </row>
    <row r="185" spans="1:15" ht="45.75" customHeight="1">
      <c r="A185" s="165"/>
      <c r="B185" s="161" t="s">
        <v>268</v>
      </c>
      <c r="C185" s="162"/>
      <c r="D185" s="163"/>
      <c r="E185" s="156"/>
      <c r="F185" s="50">
        <v>78</v>
      </c>
      <c r="G185" s="50">
        <v>76.5</v>
      </c>
      <c r="H185" s="50">
        <v>71</v>
      </c>
    </row>
    <row r="186" spans="1:15" ht="30" customHeight="1">
      <c r="A186" s="147" t="s">
        <v>269</v>
      </c>
      <c r="B186" s="170" t="s">
        <v>270</v>
      </c>
      <c r="C186" s="171"/>
      <c r="D186" s="172"/>
      <c r="E186" s="156"/>
      <c r="F186" s="50">
        <v>80</v>
      </c>
      <c r="G186" s="50">
        <v>74.900000000000006</v>
      </c>
      <c r="H186" s="50">
        <v>77</v>
      </c>
    </row>
    <row r="187" spans="1:15" ht="30" customHeight="1">
      <c r="A187" s="175" t="s">
        <v>271</v>
      </c>
      <c r="B187" s="161" t="s">
        <v>272</v>
      </c>
      <c r="C187" s="162"/>
      <c r="D187" s="163"/>
      <c r="E187" s="156"/>
      <c r="F187" s="50">
        <v>66</v>
      </c>
      <c r="G187" s="50">
        <v>59.9</v>
      </c>
      <c r="H187" s="50">
        <v>55</v>
      </c>
    </row>
    <row r="188" spans="1:15" ht="30" customHeight="1">
      <c r="A188" s="176"/>
      <c r="B188" s="161" t="s">
        <v>273</v>
      </c>
      <c r="C188" s="162"/>
      <c r="D188" s="163"/>
      <c r="E188" s="156"/>
      <c r="F188" s="50">
        <v>70</v>
      </c>
      <c r="G188" s="50">
        <v>59.6</v>
      </c>
      <c r="H188" s="50">
        <v>55</v>
      </c>
    </row>
    <row r="189" spans="1:15" ht="45" customHeight="1">
      <c r="A189" s="177"/>
      <c r="B189" s="170" t="s">
        <v>274</v>
      </c>
      <c r="C189" s="171"/>
      <c r="D189" s="172"/>
      <c r="E189" s="157"/>
      <c r="F189" s="50">
        <v>49</v>
      </c>
      <c r="G189" s="50">
        <v>48</v>
      </c>
      <c r="H189" s="50">
        <v>38</v>
      </c>
    </row>
    <row r="190" spans="1:15" s="20" customFormat="1" ht="30" customHeight="1">
      <c r="A190" s="230" t="s">
        <v>275</v>
      </c>
      <c r="B190" s="230"/>
      <c r="C190" s="230"/>
      <c r="D190" s="230"/>
      <c r="E190" s="230"/>
      <c r="F190" s="230"/>
      <c r="G190" s="230"/>
      <c r="H190" s="230"/>
      <c r="I190" s="29"/>
      <c r="J190" s="29"/>
      <c r="K190" s="29"/>
      <c r="L190" s="29"/>
      <c r="M190" s="29"/>
    </row>
    <row r="191" spans="1:15" ht="19.5" customHeight="1">
      <c r="G191" s="139"/>
      <c r="H191" s="4"/>
    </row>
    <row r="192" spans="1:15" s="7" customFormat="1" ht="19.95" customHeight="1">
      <c r="A192" s="18" t="s">
        <v>276</v>
      </c>
      <c r="B192" s="19"/>
      <c r="C192" s="19"/>
      <c r="D192" s="19"/>
      <c r="E192" s="19"/>
      <c r="F192" s="19"/>
      <c r="G192" s="19"/>
      <c r="H192" s="19"/>
      <c r="I192" s="19"/>
      <c r="J192" s="19"/>
      <c r="K192" s="19"/>
      <c r="L192" s="19"/>
      <c r="M192" s="19"/>
      <c r="N192" s="19"/>
      <c r="O192" s="19"/>
    </row>
    <row r="193" spans="1:15" ht="30" customHeight="1">
      <c r="A193" s="233"/>
      <c r="B193" s="233"/>
      <c r="C193" s="233"/>
      <c r="D193" s="233"/>
      <c r="E193" s="233"/>
      <c r="F193" s="233"/>
      <c r="G193" s="148" t="s">
        <v>277</v>
      </c>
      <c r="H193" s="42" t="s">
        <v>62</v>
      </c>
    </row>
    <row r="194" spans="1:15" ht="19.95" customHeight="1">
      <c r="A194" s="232" t="s">
        <v>278</v>
      </c>
      <c r="B194" s="232"/>
      <c r="C194" s="232"/>
      <c r="D194" s="232"/>
      <c r="E194" s="232"/>
      <c r="F194" s="232"/>
      <c r="G194" s="234" t="s">
        <v>88</v>
      </c>
      <c r="H194" s="149" t="s">
        <v>295</v>
      </c>
    </row>
    <row r="195" spans="1:15" ht="19.95" customHeight="1">
      <c r="A195" s="232" t="s">
        <v>279</v>
      </c>
      <c r="B195" s="232"/>
      <c r="C195" s="232"/>
      <c r="D195" s="232"/>
      <c r="E195" s="232"/>
      <c r="F195" s="232"/>
      <c r="G195" s="235"/>
      <c r="H195" s="300" t="s">
        <v>296</v>
      </c>
    </row>
    <row r="196" spans="1:15" ht="19.5" customHeight="1">
      <c r="C196" s="3"/>
      <c r="D196" s="3"/>
      <c r="G196" s="36"/>
      <c r="H196" s="4"/>
    </row>
    <row r="197" spans="1:15" s="7" customFormat="1" ht="19.95" customHeight="1">
      <c r="A197" s="124" t="s">
        <v>297</v>
      </c>
      <c r="B197" s="19"/>
      <c r="E197" s="19"/>
      <c r="F197" s="19"/>
      <c r="G197" s="19"/>
      <c r="H197" s="19"/>
      <c r="I197" s="19"/>
      <c r="J197" s="19"/>
      <c r="K197" s="19"/>
      <c r="L197" s="19"/>
      <c r="M197" s="19"/>
      <c r="N197" s="19"/>
      <c r="O197" s="19"/>
    </row>
    <row r="198" spans="1:15" ht="40.200000000000003" customHeight="1">
      <c r="A198" s="231"/>
      <c r="B198" s="231"/>
      <c r="C198" s="231"/>
      <c r="D198" s="231"/>
      <c r="E198" s="231"/>
      <c r="F198" s="231"/>
      <c r="G198" s="150" t="s">
        <v>153</v>
      </c>
      <c r="H198" s="151" t="s">
        <v>280</v>
      </c>
    </row>
    <row r="199" spans="1:15" ht="19.95" customHeight="1">
      <c r="A199" s="173" t="s">
        <v>281</v>
      </c>
      <c r="B199" s="173"/>
      <c r="C199" s="173"/>
      <c r="D199" s="173"/>
      <c r="E199" s="173"/>
      <c r="F199" s="173"/>
      <c r="G199" s="155" t="s">
        <v>282</v>
      </c>
      <c r="H199" s="52">
        <v>538</v>
      </c>
    </row>
    <row r="200" spans="1:15" ht="19.95" customHeight="1">
      <c r="A200" s="173" t="s">
        <v>283</v>
      </c>
      <c r="B200" s="173"/>
      <c r="C200" s="173"/>
      <c r="D200" s="173"/>
      <c r="E200" s="173"/>
      <c r="F200" s="173"/>
      <c r="G200" s="156"/>
      <c r="H200" s="52">
        <v>140</v>
      </c>
    </row>
    <row r="201" spans="1:15" ht="19.95" customHeight="1">
      <c r="A201" s="173" t="s">
        <v>284</v>
      </c>
      <c r="B201" s="173"/>
      <c r="C201" s="173"/>
      <c r="D201" s="173"/>
      <c r="E201" s="173"/>
      <c r="F201" s="173"/>
      <c r="G201" s="156"/>
      <c r="H201" s="52">
        <v>356</v>
      </c>
    </row>
    <row r="202" spans="1:15" ht="19.95" customHeight="1">
      <c r="A202" s="173" t="s">
        <v>239</v>
      </c>
      <c r="B202" s="173"/>
      <c r="C202" s="173"/>
      <c r="D202" s="173"/>
      <c r="E202" s="173"/>
      <c r="F202" s="173"/>
      <c r="G202" s="157"/>
      <c r="H202" s="51">
        <v>1034</v>
      </c>
    </row>
    <row r="203" spans="1:15" ht="19.5" customHeight="1">
      <c r="C203" s="3"/>
      <c r="D203" s="3"/>
      <c r="E203" s="142"/>
      <c r="F203" s="142"/>
      <c r="G203" s="11"/>
      <c r="H203" s="142"/>
    </row>
    <row r="204" spans="1:15" s="7" customFormat="1" ht="19.95" customHeight="1">
      <c r="A204" s="18" t="s">
        <v>298</v>
      </c>
      <c r="B204" s="19"/>
      <c r="E204" s="19"/>
      <c r="F204" s="19"/>
      <c r="G204" s="19"/>
      <c r="H204" s="19"/>
      <c r="I204" s="19"/>
      <c r="J204" s="19"/>
      <c r="K204" s="19"/>
      <c r="L204" s="19"/>
      <c r="M204" s="19"/>
      <c r="N204" s="19"/>
      <c r="O204" s="19"/>
    </row>
    <row r="205" spans="1:15" ht="40.200000000000003" customHeight="1">
      <c r="A205" s="231"/>
      <c r="B205" s="231"/>
      <c r="C205" s="231"/>
      <c r="D205" s="231"/>
      <c r="E205" s="231"/>
      <c r="F205" s="231"/>
      <c r="G205" s="150" t="s">
        <v>128</v>
      </c>
      <c r="H205" s="151" t="s">
        <v>280</v>
      </c>
    </row>
    <row r="206" spans="1:15" ht="19.95" customHeight="1">
      <c r="A206" s="289" t="s">
        <v>285</v>
      </c>
      <c r="B206" s="290"/>
      <c r="C206" s="290"/>
      <c r="D206" s="290"/>
      <c r="E206" s="289" t="s">
        <v>286</v>
      </c>
      <c r="F206" s="293"/>
      <c r="G206" s="153" t="s">
        <v>282</v>
      </c>
      <c r="H206" s="51">
        <v>166</v>
      </c>
      <c r="I206" s="10"/>
      <c r="J206" s="10"/>
      <c r="K206" s="10"/>
      <c r="L206" s="10"/>
      <c r="M206" s="10"/>
      <c r="N206" s="10"/>
      <c r="O206" s="10"/>
    </row>
    <row r="207" spans="1:15" ht="19.95" customHeight="1">
      <c r="A207" s="289" t="s">
        <v>287</v>
      </c>
      <c r="B207" s="290"/>
      <c r="C207" s="290"/>
      <c r="D207" s="290"/>
      <c r="E207" s="291" t="s">
        <v>288</v>
      </c>
      <c r="F207" s="292"/>
      <c r="G207" s="154"/>
      <c r="H207" s="51">
        <v>79</v>
      </c>
      <c r="I207" s="10"/>
      <c r="J207" s="10"/>
      <c r="K207" s="10"/>
      <c r="L207" s="10"/>
      <c r="M207" s="10"/>
      <c r="N207" s="10"/>
      <c r="O207" s="10"/>
    </row>
    <row r="208" spans="1:15" s="20" customFormat="1" ht="56.25" customHeight="1">
      <c r="A208" s="229" t="s">
        <v>289</v>
      </c>
      <c r="B208" s="229"/>
      <c r="C208" s="229"/>
      <c r="D208" s="229"/>
      <c r="E208" s="229"/>
      <c r="F208" s="229"/>
      <c r="G208" s="229"/>
      <c r="H208" s="229"/>
      <c r="I208" s="21"/>
      <c r="J208" s="21"/>
      <c r="K208" s="21"/>
      <c r="L208" s="21"/>
      <c r="M208" s="21"/>
      <c r="N208" s="21"/>
      <c r="O208" s="21"/>
    </row>
    <row r="209" spans="1:8">
      <c r="A209" s="152"/>
      <c r="B209" s="152"/>
      <c r="C209" s="152"/>
      <c r="D209" s="152"/>
      <c r="E209" s="152"/>
      <c r="G209" s="139"/>
      <c r="H209" s="4"/>
    </row>
    <row r="210" spans="1:8" ht="36" customHeight="1">
      <c r="A210" s="152"/>
      <c r="B210" s="152"/>
      <c r="C210" s="152"/>
      <c r="D210" s="152"/>
      <c r="E210" s="152"/>
    </row>
  </sheetData>
  <mergeCells count="224">
    <mergeCell ref="A37:H37"/>
    <mergeCell ref="A122:H122"/>
    <mergeCell ref="A64:H64"/>
    <mergeCell ref="A123:H123"/>
    <mergeCell ref="E67:E69"/>
    <mergeCell ref="E71:E73"/>
    <mergeCell ref="E84:E86"/>
    <mergeCell ref="A207:D207"/>
    <mergeCell ref="A206:D206"/>
    <mergeCell ref="E207:F207"/>
    <mergeCell ref="E206:F206"/>
    <mergeCell ref="A65:B65"/>
    <mergeCell ref="A87:B87"/>
    <mergeCell ref="A84:B86"/>
    <mergeCell ref="A81:B83"/>
    <mergeCell ref="A79:B80"/>
    <mergeCell ref="A76:B78"/>
    <mergeCell ref="A71:B75"/>
    <mergeCell ref="A70:B70"/>
    <mergeCell ref="A67:B69"/>
    <mergeCell ref="A66:B66"/>
    <mergeCell ref="C71:D71"/>
    <mergeCell ref="C70:D70"/>
    <mergeCell ref="C69:D69"/>
    <mergeCell ref="C35:D35"/>
    <mergeCell ref="C34:D34"/>
    <mergeCell ref="C29:D29"/>
    <mergeCell ref="C28:D28"/>
    <mergeCell ref="C27:D27"/>
    <mergeCell ref="C26:D26"/>
    <mergeCell ref="C25:D25"/>
    <mergeCell ref="A14:D14"/>
    <mergeCell ref="A18:D18"/>
    <mergeCell ref="A33:D33"/>
    <mergeCell ref="A32:D32"/>
    <mergeCell ref="A31:D31"/>
    <mergeCell ref="A30:D30"/>
    <mergeCell ref="A34:B35"/>
    <mergeCell ref="A29:B29"/>
    <mergeCell ref="A7:C7"/>
    <mergeCell ref="A24:D24"/>
    <mergeCell ref="A27:B28"/>
    <mergeCell ref="A25:B26"/>
    <mergeCell ref="A22:B23"/>
    <mergeCell ref="A19:B21"/>
    <mergeCell ref="A15:B17"/>
    <mergeCell ref="A11:B13"/>
    <mergeCell ref="A8:B10"/>
    <mergeCell ref="C23:D23"/>
    <mergeCell ref="C22:D22"/>
    <mergeCell ref="C21:D21"/>
    <mergeCell ref="C20:D20"/>
    <mergeCell ref="C19:D19"/>
    <mergeCell ref="C17:D17"/>
    <mergeCell ref="C16:D16"/>
    <mergeCell ref="C15:D15"/>
    <mergeCell ref="C13:D13"/>
    <mergeCell ref="C12:D12"/>
    <mergeCell ref="C11:D11"/>
    <mergeCell ref="C10:D10"/>
    <mergeCell ref="C9:D9"/>
    <mergeCell ref="C8:D8"/>
    <mergeCell ref="A40:H40"/>
    <mergeCell ref="A39:H39"/>
    <mergeCell ref="C97:D97"/>
    <mergeCell ref="C96:D96"/>
    <mergeCell ref="C95:D95"/>
    <mergeCell ref="C94:D94"/>
    <mergeCell ref="C91:D91"/>
    <mergeCell ref="C88:D88"/>
    <mergeCell ref="C87:D87"/>
    <mergeCell ref="C80:D80"/>
    <mergeCell ref="C79:D79"/>
    <mergeCell ref="A94:B94"/>
    <mergeCell ref="A88:B93"/>
    <mergeCell ref="E94:E99"/>
    <mergeCell ref="G62:H62"/>
    <mergeCell ref="G51:G54"/>
    <mergeCell ref="G57:H57"/>
    <mergeCell ref="C67:D67"/>
    <mergeCell ref="A46:F46"/>
    <mergeCell ref="A45:F45"/>
    <mergeCell ref="A47:H47"/>
    <mergeCell ref="C68:D68"/>
    <mergeCell ref="A147:F147"/>
    <mergeCell ref="A146:F146"/>
    <mergeCell ref="A155:F155"/>
    <mergeCell ref="A154:F154"/>
    <mergeCell ref="A153:F153"/>
    <mergeCell ref="A142:H142"/>
    <mergeCell ref="A143:H143"/>
    <mergeCell ref="A124:H124"/>
    <mergeCell ref="A125:H125"/>
    <mergeCell ref="A126:H126"/>
    <mergeCell ref="A148:F148"/>
    <mergeCell ref="A132:B132"/>
    <mergeCell ref="A130:A131"/>
    <mergeCell ref="B135:D135"/>
    <mergeCell ref="A208:H208"/>
    <mergeCell ref="A190:H190"/>
    <mergeCell ref="A179:H179"/>
    <mergeCell ref="A164:H164"/>
    <mergeCell ref="A150:F150"/>
    <mergeCell ref="A149:F149"/>
    <mergeCell ref="A202:F202"/>
    <mergeCell ref="A201:F201"/>
    <mergeCell ref="A200:F200"/>
    <mergeCell ref="A199:F199"/>
    <mergeCell ref="A198:F198"/>
    <mergeCell ref="A195:F195"/>
    <mergeCell ref="A194:F194"/>
    <mergeCell ref="A193:F193"/>
    <mergeCell ref="A205:F205"/>
    <mergeCell ref="B189:D189"/>
    <mergeCell ref="G194:G195"/>
    <mergeCell ref="G199:G202"/>
    <mergeCell ref="A163:F163"/>
    <mergeCell ref="A162:F162"/>
    <mergeCell ref="A161:F161"/>
    <mergeCell ref="A160:F160"/>
    <mergeCell ref="B185:D185"/>
    <mergeCell ref="B186:D186"/>
    <mergeCell ref="A168:F168"/>
    <mergeCell ref="A167:F167"/>
    <mergeCell ref="A178:F178"/>
    <mergeCell ref="A177:F177"/>
    <mergeCell ref="A176:F176"/>
    <mergeCell ref="A175:F175"/>
    <mergeCell ref="A174:F174"/>
    <mergeCell ref="B187:D187"/>
    <mergeCell ref="B188:D188"/>
    <mergeCell ref="A114:H114"/>
    <mergeCell ref="A113:H113"/>
    <mergeCell ref="A104:H104"/>
    <mergeCell ref="A105:H105"/>
    <mergeCell ref="A112:F112"/>
    <mergeCell ref="A111:F111"/>
    <mergeCell ref="A110:F110"/>
    <mergeCell ref="A109:F109"/>
    <mergeCell ref="A102:B103"/>
    <mergeCell ref="A100:B101"/>
    <mergeCell ref="A99:B99"/>
    <mergeCell ref="A98:B98"/>
    <mergeCell ref="A97:B97"/>
    <mergeCell ref="A96:B96"/>
    <mergeCell ref="A106:H106"/>
    <mergeCell ref="C103:D103"/>
    <mergeCell ref="C102:D102"/>
    <mergeCell ref="C101:D101"/>
    <mergeCell ref="C100:D100"/>
    <mergeCell ref="C99:D99"/>
    <mergeCell ref="C98:D98"/>
    <mergeCell ref="A121:C121"/>
    <mergeCell ref="A120:C120"/>
    <mergeCell ref="A119:C119"/>
    <mergeCell ref="A118:C118"/>
    <mergeCell ref="A117:C117"/>
    <mergeCell ref="E15:E17"/>
    <mergeCell ref="E19:E21"/>
    <mergeCell ref="E34:E35"/>
    <mergeCell ref="E74:E75"/>
    <mergeCell ref="E22:E23"/>
    <mergeCell ref="E25:E26"/>
    <mergeCell ref="E27:E28"/>
    <mergeCell ref="A57:A58"/>
    <mergeCell ref="C62:D62"/>
    <mergeCell ref="E62:F62"/>
    <mergeCell ref="E81:E83"/>
    <mergeCell ref="E88:E93"/>
    <mergeCell ref="C86:D86"/>
    <mergeCell ref="C85:D85"/>
    <mergeCell ref="C84:D84"/>
    <mergeCell ref="C83:D83"/>
    <mergeCell ref="C82:D82"/>
    <mergeCell ref="C81:D81"/>
    <mergeCell ref="A95:B95"/>
    <mergeCell ref="E8:E10"/>
    <mergeCell ref="E11:E13"/>
    <mergeCell ref="E76:E78"/>
    <mergeCell ref="E79:E80"/>
    <mergeCell ref="B57:B58"/>
    <mergeCell ref="C57:D57"/>
    <mergeCell ref="E57:F57"/>
    <mergeCell ref="C66:D66"/>
    <mergeCell ref="C65:D65"/>
    <mergeCell ref="C78:D78"/>
    <mergeCell ref="C77:D77"/>
    <mergeCell ref="C76:D76"/>
    <mergeCell ref="C75:D75"/>
    <mergeCell ref="C74:D74"/>
    <mergeCell ref="C73:D73"/>
    <mergeCell ref="C72:D72"/>
    <mergeCell ref="A54:F54"/>
    <mergeCell ref="A53:F53"/>
    <mergeCell ref="A52:F52"/>
    <mergeCell ref="A51:F51"/>
    <mergeCell ref="A50:F50"/>
    <mergeCell ref="A38:H38"/>
    <mergeCell ref="A42:H42"/>
    <mergeCell ref="A41:H41"/>
    <mergeCell ref="G206:G207"/>
    <mergeCell ref="G168:G171"/>
    <mergeCell ref="G175:G178"/>
    <mergeCell ref="B182:D182"/>
    <mergeCell ref="B183:D183"/>
    <mergeCell ref="A184:A185"/>
    <mergeCell ref="A139:A140"/>
    <mergeCell ref="A136:A138"/>
    <mergeCell ref="B137:D137"/>
    <mergeCell ref="B136:D136"/>
    <mergeCell ref="B184:D184"/>
    <mergeCell ref="B141:D141"/>
    <mergeCell ref="B140:D140"/>
    <mergeCell ref="B139:D139"/>
    <mergeCell ref="B138:D138"/>
    <mergeCell ref="G147:G150"/>
    <mergeCell ref="E183:E189"/>
    <mergeCell ref="A187:A189"/>
    <mergeCell ref="G159:G163"/>
    <mergeCell ref="A159:F159"/>
    <mergeCell ref="A158:F158"/>
    <mergeCell ref="A171:F171"/>
    <mergeCell ref="A170:F170"/>
    <mergeCell ref="A169:F169"/>
  </mergeCells>
  <phoneticPr fontId="1"/>
  <pageMargins left="0.70866141732283472" right="0.70866141732283472" top="0.74803149606299213" bottom="0.74803149606299213" header="0.31496062992125984" footer="0.31496062992125984"/>
  <pageSetup paperSize="9" scale="46" fitToHeight="0" orientation="portrait" r:id="rId1"/>
  <rowBreaks count="3" manualBreakCount="3">
    <brk id="63" max="16383" man="1"/>
    <brk id="115" max="16383" man="1"/>
    <brk id="17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1</vt:i4>
      </vt:variant>
    </vt:vector>
  </HeadingPairs>
  <TitlesOfParts>
    <vt:vector size="1" baseType="lpstr">
      <vt:lpstr>社会_Social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2025-03-12T07:13:25Z</dcterms:created>
  <dcterms:modified xsi:type="dcterms:W3CDTF">2025-05-22T07:12:07Z</dcterms:modified>
  <cp:contentStatus/>
</cp:coreProperties>
</file>